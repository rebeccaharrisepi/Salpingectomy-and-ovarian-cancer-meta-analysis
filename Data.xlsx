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q-my.sharepoint.com/personal/uqrhar23_uq_edu_au/Documents/Documents/GitHub/Salpingectomy-and-ovarian-cancer-meta-analysis/"/>
    </mc:Choice>
  </mc:AlternateContent>
  <xr:revisionPtr revIDLastSave="6" documentId="8_{992C1801-9192-457E-AE7B-3D6E39F852D4}" xr6:coauthVersionLast="47" xr6:coauthVersionMax="47" xr10:uidLastSave="{5A3817F0-4502-4E73-91E5-351F5D506D65}"/>
  <bookViews>
    <workbookView xWindow="-38520" yWindow="-120" windowWidth="38640" windowHeight="21120" xr2:uid="{00000000-000D-0000-FFFF-FFFF00000000}"/>
  </bookViews>
  <sheets>
    <sheet name="Final DE" sheetId="1" r:id="rId1"/>
    <sheet name="Data Extraction TL" sheetId="2" r:id="rId2"/>
    <sheet name="Data Extraction BC" sheetId="3" r:id="rId3"/>
    <sheet name="Data Extraction PG" sheetId="4" r:id="rId4"/>
    <sheet name="Master" sheetId="5" r:id="rId5"/>
  </sheets>
  <definedNames>
    <definedName name="_xlnm._FilterDatabase" localSheetId="0" hidden="1">'Final DE'!$B$1:$N$46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N2" i="1"/>
  <c r="L2" i="1"/>
  <c r="P11" i="5"/>
  <c r="P10" i="5"/>
  <c r="M10" i="5"/>
  <c r="P4" i="5"/>
  <c r="P2" i="5"/>
  <c r="O6" i="2"/>
  <c r="M4" i="2"/>
  <c r="O3" i="2"/>
  <c r="O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3" authorId="0" shapeId="0" xr:uid="{00000000-0006-0000-0400-000004000000}">
      <text>
        <r>
          <rPr>
            <sz val="10"/>
            <color rgb="FF000000"/>
            <rFont val="Arial"/>
            <scheme val="minor"/>
          </rPr>
          <t>find code and add
	-Beata Cheung</t>
        </r>
      </text>
    </comment>
    <comment ref="G9" authorId="0" shapeId="0" xr:uid="{00000000-0006-0000-0400-000003000000}">
      <text>
        <r>
          <rPr>
            <sz val="10"/>
            <color rgb="FF000000"/>
            <rFont val="Arial"/>
            <scheme val="minor"/>
          </rPr>
          <t>did not say how it was coded
	-Beata Cheung</t>
        </r>
      </text>
    </comment>
    <comment ref="I9" authorId="0" shapeId="0" xr:uid="{00000000-0006-0000-0400-000002000000}">
      <text>
        <r>
          <rPr>
            <sz val="10"/>
            <color rgb="FF000000"/>
            <rFont val="Arial"/>
            <scheme val="minor"/>
          </rPr>
          <t>no code found
	-Beata Cheung</t>
        </r>
      </text>
    </comment>
    <comment ref="L11" authorId="0" shapeId="0" xr:uid="{00000000-0006-0000-0400-000001000000}">
      <text>
        <r>
          <rPr>
            <sz val="10"/>
            <color rgb="FF000000"/>
            <rFont val="Arial"/>
            <scheme val="minor"/>
          </rPr>
          <t>salp + unexposed, Table 2
	-Beata Cheung</t>
        </r>
      </text>
    </comment>
  </commentList>
</comments>
</file>

<file path=xl/sharedStrings.xml><?xml version="1.0" encoding="utf-8"?>
<sst xmlns="http://schemas.openxmlformats.org/spreadsheetml/2006/main" count="1030" uniqueCount="234">
  <si>
    <t>Study</t>
  </si>
  <si>
    <t>Author</t>
  </si>
  <si>
    <t>Year</t>
  </si>
  <si>
    <t>Location</t>
  </si>
  <si>
    <t>Study Design</t>
  </si>
  <si>
    <t>Intervention</t>
  </si>
  <si>
    <t>How was the intervention ascertained? (e.g. medical record, self-report)</t>
  </si>
  <si>
    <t>Outcome</t>
  </si>
  <si>
    <t>How was the outcome defined? (e.g. self-reported, ICD)</t>
  </si>
  <si>
    <t>Follow-up years</t>
  </si>
  <si>
    <t>Histological subtype of ovarian cancer</t>
  </si>
  <si>
    <t>Number of cases (OC)</t>
  </si>
  <si>
    <t>Number of controls (no OC)</t>
  </si>
  <si>
    <t>Salpingectomy sample size</t>
  </si>
  <si>
    <t>No salpingectomy sample size</t>
  </si>
  <si>
    <t>Total sample size</t>
  </si>
  <si>
    <t>Mean age of no salpingectomy group</t>
  </si>
  <si>
    <t>Mean age of salpingectomy group</t>
  </si>
  <si>
    <t xml:space="preserve">Effect </t>
  </si>
  <si>
    <t>Estimate</t>
  </si>
  <si>
    <t>CILL</t>
  </si>
  <si>
    <t>CIUL</t>
  </si>
  <si>
    <t>Covariates adjusted for</t>
  </si>
  <si>
    <t>Chen</t>
  </si>
  <si>
    <t>China</t>
  </si>
  <si>
    <t>Case-control</t>
  </si>
  <si>
    <t>Salpingectomy</t>
  </si>
  <si>
    <t>Medical records</t>
  </si>
  <si>
    <t>Epithelial Ovarian cancer</t>
  </si>
  <si>
    <t xml:space="preserve">Epithelial </t>
  </si>
  <si>
    <t>OR</t>
  </si>
  <si>
    <t>age, child number, menopause status</t>
  </si>
  <si>
    <t>Darelius</t>
  </si>
  <si>
    <t>Sweden</t>
  </si>
  <si>
    <t>Swedish classification of procedures</t>
  </si>
  <si>
    <t>Ovarian cancer</t>
  </si>
  <si>
    <t>ICD 7-10</t>
  </si>
  <si>
    <t>Type 1</t>
  </si>
  <si>
    <t>Type 2</t>
  </si>
  <si>
    <t>Endometriosis, pelvic inflammatory disease, other surgical procedures</t>
  </si>
  <si>
    <t>Duus</t>
  </si>
  <si>
    <t>Denmark</t>
  </si>
  <si>
    <t>Case-Control</t>
  </si>
  <si>
    <t>salpingectomy</t>
  </si>
  <si>
    <t>National Patient Registry - surgical codes</t>
  </si>
  <si>
    <t>Ovarian Cancer</t>
  </si>
  <si>
    <t xml:space="preserve">ICD-10 </t>
  </si>
  <si>
    <t>serous, endometrioid, clear cell, mucinous or other</t>
  </si>
  <si>
    <t>Unilateral</t>
  </si>
  <si>
    <t>age, parity, infertility, endometriosis, PID, hysteretomy, tubal ligation</t>
  </si>
  <si>
    <t>Bilateral</t>
  </si>
  <si>
    <t>Falconer</t>
  </si>
  <si>
    <t>Cohort study</t>
  </si>
  <si>
    <t>ICD-7 to ICD-10</t>
  </si>
  <si>
    <t>ICD-7</t>
  </si>
  <si>
    <t>Mean                    Salp: 17.8 (10.8)                No salp: 22.8 (12.5)</t>
  </si>
  <si>
    <t>Any</t>
  </si>
  <si>
    <t>35.9 (20.6)</t>
  </si>
  <si>
    <t>34.5 (8.7)</t>
  </si>
  <si>
    <t>HR</t>
  </si>
  <si>
    <t>age, calendar time, education status, parity</t>
  </si>
  <si>
    <t>Mean             No Salp: 23.1 (SD 12.4)                  salp: 18.0 (SD 10.5)</t>
  </si>
  <si>
    <t>35.7 (8.9)</t>
  </si>
  <si>
    <t>Giannakeas</t>
  </si>
  <si>
    <t>Ontario, Canada</t>
  </si>
  <si>
    <t>Cohort</t>
  </si>
  <si>
    <t>Salpingectomy (Uni and Bi)</t>
  </si>
  <si>
    <t>Healthcare databases and records</t>
  </si>
  <si>
    <t>Invasive Ovarian Cancer (epithelial ovarian, fallopian tube, or peritoneal cance)</t>
  </si>
  <si>
    <t>ICD-10</t>
  </si>
  <si>
    <t xml:space="preserve">Salpingectomy: 7.4 [0-29.2]; non-surgical: 7.5 [0-29.2] </t>
  </si>
  <si>
    <t>Epithelial, Fallopian Tube, Peritoneal</t>
  </si>
  <si>
    <t>42.0(7.7)</t>
  </si>
  <si>
    <t>income quintile, rurality of residence, years eligible for provincial health coverage, number of primary care visits, history of supracervical hysterectomy, and individual aggregate diagnosis groups.</t>
  </si>
  <si>
    <t>Hanley</t>
  </si>
  <si>
    <t>Canada</t>
  </si>
  <si>
    <t>Retrospective cohort study</t>
  </si>
  <si>
    <t>Canadian Classification of Health Intervention codes</t>
  </si>
  <si>
    <t>ICD-O</t>
  </si>
  <si>
    <t>Median (IQR)          Salp: 3.2 (1.6-5.1)        No salp: 7.3 (4.6-8.7)</t>
  </si>
  <si>
    <t>Serous</t>
  </si>
  <si>
    <t>REMOVE - no ORs</t>
  </si>
  <si>
    <t>Harnod</t>
  </si>
  <si>
    <t>Taiwan</t>
  </si>
  <si>
    <t>Bilateral salpingectomy</t>
  </si>
  <si>
    <t>National Health Insurance Research Database (ICD-9-OP)</t>
  </si>
  <si>
    <t>ICD-9-CM</t>
  </si>
  <si>
    <t>Median                 Salp: 6.74;            no salp: 7.29</t>
  </si>
  <si>
    <t>45.5 (11.1)</t>
  </si>
  <si>
    <t>33.0 (7.71)</t>
  </si>
  <si>
    <t>Age, endometriosis, pelvic inflammatory disease, ectopic pregnancy</t>
  </si>
  <si>
    <t>Lessard-Anderson</t>
  </si>
  <si>
    <t>Minnesota, USA</t>
  </si>
  <si>
    <t>tubal sterilization (any/excisional)</t>
  </si>
  <si>
    <t xml:space="preserve">Operative and Pathology Reports </t>
  </si>
  <si>
    <t>serous EOC and PPC</t>
  </si>
  <si>
    <t>pathology report</t>
  </si>
  <si>
    <t>serous, mixed serous, not documented</t>
  </si>
  <si>
    <t>prior hysterectomy, prior salpingo-oophorectomy, oral contraceptive use (yes vs no vs unknown), endometriosis, infertility, gravidity (0 vs ≥1), and parity (0 vs ≥1),</t>
  </si>
  <si>
    <r>
      <rPr>
        <sz val="10"/>
        <color theme="1"/>
        <rFont val="Arial"/>
      </rPr>
      <t>*</t>
    </r>
    <r>
      <rPr>
        <b/>
        <sz val="10"/>
        <color theme="1"/>
        <rFont val="Arial"/>
      </rPr>
      <t>OR includes distal fibriectomy in the numbers (not only the salpingectomies)</t>
    </r>
  </si>
  <si>
    <t>Madsen</t>
  </si>
  <si>
    <t>Nested case-control</t>
  </si>
  <si>
    <t>Unilateral or bilateral salpingectomy</t>
  </si>
  <si>
    <t>ICD-8 from 1977-1993, ICD-10 from 1994 onwards - National Database</t>
  </si>
  <si>
    <t>ICD-10 and ICD-O-3</t>
  </si>
  <si>
    <t>epithelial or borderline</t>
  </si>
  <si>
    <t>age, parity (0, 1, 2, ≥3), and tubal ligation</t>
  </si>
  <si>
    <t>No surgery: 13,135 Unilateral: 89 Bilateral: 17</t>
  </si>
  <si>
    <t>No surgery: 192,896 Unilateral: 1382  Bilateral: 411</t>
  </si>
  <si>
    <t>VanLieshout</t>
  </si>
  <si>
    <t>Netherlands</t>
  </si>
  <si>
    <t>Case-Control (age-matched)</t>
  </si>
  <si>
    <t>national pathology database</t>
  </si>
  <si>
    <t>Ovarian Cancer (ovarian cancer, fallopian tube cancer, peritoneal cancer)</t>
  </si>
  <si>
    <t>Pathology report</t>
  </si>
  <si>
    <t>Median salp: 13 (IQR 8.5-18); no salp: 13.5 (IQR 8.7-18.6)</t>
  </si>
  <si>
    <t>all</t>
  </si>
  <si>
    <t>age</t>
  </si>
  <si>
    <t>bilateral salpingectomy resulted in a greater risk reduction than unilateral (0.43 vs 0.81)</t>
  </si>
  <si>
    <t>Australia</t>
  </si>
  <si>
    <t>First Author</t>
  </si>
  <si>
    <t>Publication Year</t>
  </si>
  <si>
    <t>Effect measure (RR, OR, HR)</t>
  </si>
  <si>
    <t>Risk estimate</t>
  </si>
  <si>
    <t>95% CI lower limit</t>
  </si>
  <si>
    <t>95% CI upper limit</t>
  </si>
  <si>
    <t xml:space="preserve"> Salpingectomy</t>
  </si>
  <si>
    <t>Hysterectomy and bilateral salpingectomy</t>
  </si>
  <si>
    <t>Data linkage</t>
  </si>
  <si>
    <t>Mean             Salp: 23.1 (SD 12.4)                  No salp: 18.0 (SD 10.5)</t>
  </si>
  <si>
    <t>95% epithelial cell</t>
  </si>
  <si>
    <t>ICD-8 from 1977-1993, ICD-10 from 1994 onwards</t>
  </si>
  <si>
    <t>ICD-O-3</t>
  </si>
  <si>
    <t xml:space="preserve">Unilateral: 0.90 Bilateral: 0.58  </t>
  </si>
  <si>
    <t>Unilateral: 0.72 Bilateral: 0.36</t>
  </si>
  <si>
    <t>Unilateral: 1.12 Bilateral: 0.95</t>
  </si>
  <si>
    <t>Age, parity, tubal ligation</t>
  </si>
  <si>
    <t>NOS SCORE</t>
  </si>
  <si>
    <t>medical record</t>
  </si>
  <si>
    <t>pregnancy number, live births, OCP use, gynecological surgery history</t>
  </si>
  <si>
    <t>British Columbia, Canada</t>
  </si>
  <si>
    <t>Opportunistic Salpingectomy (hysterectomy and salpingectomy w/o oophorectomy OR bilateral salpingectomy)</t>
  </si>
  <si>
    <t>Cancer Registries, Screening Program Data</t>
  </si>
  <si>
    <t>serous, epithelial</t>
  </si>
  <si>
    <t>National Patient Registry</t>
  </si>
  <si>
    <t>OR (unilat)</t>
  </si>
  <si>
    <t>OR (bilat)</t>
  </si>
  <si>
    <t>Tianjin, China</t>
  </si>
  <si>
    <t>Epithelial Ovarian Cancer</t>
  </si>
  <si>
    <t>Epithelial</t>
  </si>
  <si>
    <t>Healthcare databases</t>
  </si>
  <si>
    <t xml:space="preserve">Invasive Ovarian Cancer </t>
  </si>
  <si>
    <t>National Inpatioent Register</t>
  </si>
  <si>
    <t>Ovarian and Tubal Cance</t>
  </si>
  <si>
    <t>age, parity</t>
  </si>
  <si>
    <t xml:space="preserve"> Lessard-Anderson</t>
  </si>
  <si>
    <t>Case Control</t>
  </si>
  <si>
    <t>tubal sterilization/external tubal sterlization</t>
  </si>
  <si>
    <t>Medical record</t>
  </si>
  <si>
    <t>serous EOC and PPC (epithelil cell carcinoma; primary peritoneal cancer)</t>
  </si>
  <si>
    <t>Self-reported</t>
  </si>
  <si>
    <t>Any:0.59  External Tubal Sterlization: 0.36</t>
  </si>
  <si>
    <t>Any:0.29  External: 0.13</t>
  </si>
  <si>
    <t>Any: 1.17        External:1.02</t>
  </si>
  <si>
    <t>age, prior hysterectomy, prior salpingo-oophorectomy, oral contraceptive use (yes vs no vs unknown), endometriosis, infertility, gravidity (0 vs ≥1), and parity (0 vs ≥1)</t>
  </si>
  <si>
    <t xml:space="preserve">Falconer </t>
  </si>
  <si>
    <t xml:space="preserve">Cohort </t>
  </si>
  <si>
    <t xml:space="preserve">Saplingectomy </t>
  </si>
  <si>
    <t>National Healthcare data records</t>
  </si>
  <si>
    <t>PID w/ Salp: 18.3; PID w/out Salp:21.9; Salp w/out PID:17.8;  Unexposed:22</t>
  </si>
  <si>
    <t>Multiple</t>
  </si>
  <si>
    <t xml:space="preserve">age, education status, parity, </t>
  </si>
  <si>
    <t>Van Lieshout</t>
  </si>
  <si>
    <t>National Database</t>
  </si>
  <si>
    <t>National database registery</t>
  </si>
  <si>
    <t>ICD version 7 to 10</t>
  </si>
  <si>
    <t>Type 1: 1.16    Type 2: 0.62</t>
  </si>
  <si>
    <t>Type 1: 0.75    Type 2:0.45</t>
  </si>
  <si>
    <t>Type 1: 1.78     Type 2: 0.85</t>
  </si>
  <si>
    <t>Endometreosis; Hx of PID, Infertiliy</t>
  </si>
  <si>
    <t>Significant reduction in Type 2</t>
  </si>
  <si>
    <t>Saplingectomy (Uni or Bi)</t>
  </si>
  <si>
    <t>Uni Salp: 0.73
Bi Salp: 0.46</t>
  </si>
  <si>
    <t>Uni: 0.60
Bi: 0.31</t>
  </si>
  <si>
    <t>Uni: 0.87
Bi: 0.67</t>
  </si>
  <si>
    <t xml:space="preserve">Could not find full text </t>
  </si>
  <si>
    <t>EOC, Fallopian, Perioneal</t>
  </si>
  <si>
    <t>7.4 (0-29.2) years in the salpingectomy group and 7.5 (0-29.2) years in the nonsurgical control group</t>
  </si>
  <si>
    <t>demographic information, health services use, reproductive history, comorbidities, and indications for surgery.</t>
  </si>
  <si>
    <t>Salpingectomy (Bi)</t>
  </si>
  <si>
    <t>National Health Insurance Research Database</t>
  </si>
  <si>
    <t xml:space="preserve">ICD-9-CM </t>
  </si>
  <si>
    <t>Control: 7.29
Salp: 6.74</t>
  </si>
  <si>
    <t>Endometriosis,
PID, ectopic pregnancy, age</t>
  </si>
  <si>
    <t>Salpingectomy (Uni or Bi)</t>
  </si>
  <si>
    <t>Epithelial or Borderline</t>
  </si>
  <si>
    <t>uni: 0.90
bi: 0.58</t>
  </si>
  <si>
    <t>uni: 0.72
bi: 0.36</t>
  </si>
  <si>
    <t>uni: 1.12
bi: 0.95</t>
  </si>
  <si>
    <t>Extractor</t>
  </si>
  <si>
    <t>Quality score</t>
  </si>
  <si>
    <t>TL</t>
  </si>
  <si>
    <t>PG</t>
  </si>
  <si>
    <t>BC</t>
  </si>
  <si>
    <t>National database registery - Swedish Classification of Operations and major procedures</t>
  </si>
  <si>
    <t>Endometreosis; Hx of PID, Hx other surgical procedures</t>
  </si>
  <si>
    <t>age, number of children, menopausal status,</t>
  </si>
  <si>
    <t>No Salp: 23.1 (12.4) Salp: 18 (10.5)</t>
  </si>
  <si>
    <t>30, 830</t>
  </si>
  <si>
    <t>33 (7.71)</t>
  </si>
  <si>
    <t>National database registery - surgical codes</t>
  </si>
  <si>
    <t>*unclear what 'reproductive history' includes however; 'long enough follow up' based on VanLieshout study saying that incidence is greatest in the group &gt;8y of follow-up</t>
  </si>
  <si>
    <t>Both</t>
  </si>
  <si>
    <t>&lt;50</t>
  </si>
  <si>
    <t>&gt;50</t>
  </si>
  <si>
    <t>Age_group</t>
  </si>
  <si>
    <t>OC_type</t>
  </si>
  <si>
    <t>salping_type</t>
  </si>
  <si>
    <t>0–4</t>
  </si>
  <si>
    <t>5–9</t>
  </si>
  <si>
    <t>Time_sincesurgery</t>
  </si>
  <si>
    <t>All</t>
  </si>
  <si>
    <t>&gt;20</t>
  </si>
  <si>
    <t>10–19</t>
  </si>
  <si>
    <t>USA</t>
  </si>
  <si>
    <t>Bilateral or Unilateral</t>
  </si>
  <si>
    <t>Intervention_subgroups</t>
  </si>
  <si>
    <t>van Lieshout</t>
  </si>
  <si>
    <t>Epithelial or primary peritoneal</t>
  </si>
  <si>
    <t>Cheung</t>
  </si>
  <si>
    <t>Nested Case-control</t>
  </si>
  <si>
    <t>&gt;10</t>
  </si>
  <si>
    <t>&lt;10</t>
  </si>
  <si>
    <t>Yen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</si>
</sst>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  <font>
      <b/>
      <sz val="10"/>
      <color theme="1"/>
      <name val="Arial"/>
    </font>
    <font>
      <sz val="8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3" fontId="2" fillId="0" borderId="0" xfId="0" applyNumberFormat="1" applyFont="1" applyAlignment="1">
      <alignment wrapText="1"/>
    </xf>
    <xf numFmtId="0" fontId="2" fillId="0" borderId="0" xfId="0" applyFont="1"/>
    <xf numFmtId="0" fontId="2" fillId="4" borderId="0" xfId="0" applyFont="1" applyFill="1" applyAlignment="1">
      <alignment wrapText="1"/>
    </xf>
    <xf numFmtId="0" fontId="2" fillId="4" borderId="0" xfId="0" applyFont="1" applyFill="1"/>
    <xf numFmtId="3" fontId="2" fillId="4" borderId="0" xfId="0" applyNumberFormat="1" applyFont="1" applyFill="1" applyAlignment="1">
      <alignment wrapText="1"/>
    </xf>
    <xf numFmtId="0" fontId="2" fillId="3" borderId="0" xfId="0" applyFont="1" applyFill="1"/>
    <xf numFmtId="3" fontId="2" fillId="0" borderId="0" xfId="0" applyNumberFormat="1" applyFont="1"/>
    <xf numFmtId="0" fontId="3" fillId="5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0" fontId="3" fillId="5" borderId="0" xfId="0" applyFont="1" applyFill="1" applyAlignment="1">
      <alignment horizontal="left" wrapText="1"/>
    </xf>
    <xf numFmtId="0" fontId="2" fillId="6" borderId="0" xfId="0" applyFont="1" applyFill="1" applyAlignment="1">
      <alignment wrapText="1"/>
    </xf>
    <xf numFmtId="2" fontId="2" fillId="0" borderId="0" xfId="0" applyNumberFormat="1" applyFont="1" applyAlignment="1">
      <alignment wrapText="1"/>
    </xf>
    <xf numFmtId="0" fontId="1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3CE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51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2.54296875" defaultRowHeight="15.75" customHeight="1" x14ac:dyDescent="0.25"/>
  <cols>
    <col min="2" max="2" width="16.453125" customWidth="1"/>
    <col min="5" max="5" width="20.453125" customWidth="1"/>
    <col min="7" max="7" width="14.81640625" customWidth="1"/>
    <col min="9" max="9" width="13.81640625" customWidth="1"/>
  </cols>
  <sheetData>
    <row r="1" spans="1:14" ht="58.5" customHeight="1" x14ac:dyDescent="0.3">
      <c r="A1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215</v>
      </c>
      <c r="G1" s="16" t="s">
        <v>220</v>
      </c>
      <c r="H1" s="16" t="s">
        <v>216</v>
      </c>
      <c r="I1" s="16" t="s">
        <v>217</v>
      </c>
      <c r="J1" s="16" t="s">
        <v>18</v>
      </c>
      <c r="K1" s="16" t="s">
        <v>226</v>
      </c>
      <c r="L1" s="16" t="s">
        <v>19</v>
      </c>
      <c r="M1" s="16" t="s">
        <v>20</v>
      </c>
      <c r="N1" s="16" t="s">
        <v>21</v>
      </c>
    </row>
    <row r="2" spans="1:14" ht="37.5" x14ac:dyDescent="0.25">
      <c r="A2">
        <v>1</v>
      </c>
      <c r="B2" s="2" t="s">
        <v>23</v>
      </c>
      <c r="C2" s="2">
        <v>2018</v>
      </c>
      <c r="D2" s="2" t="s">
        <v>24</v>
      </c>
      <c r="E2" s="2" t="s">
        <v>25</v>
      </c>
      <c r="F2" s="2" t="s">
        <v>221</v>
      </c>
      <c r="G2" s="2" t="s">
        <v>56</v>
      </c>
      <c r="H2" s="2" t="s">
        <v>228</v>
      </c>
      <c r="I2" s="2" t="s">
        <v>225</v>
      </c>
      <c r="J2" s="2" t="s">
        <v>30</v>
      </c>
      <c r="K2" s="2">
        <v>1</v>
      </c>
      <c r="L2" s="15">
        <f>1/2.08</f>
        <v>0.48076923076923073</v>
      </c>
      <c r="M2" s="15">
        <f>1/3.227</f>
        <v>0.3098853424233034</v>
      </c>
      <c r="N2" s="15">
        <f>1/1.34</f>
        <v>0.74626865671641784</v>
      </c>
    </row>
    <row r="3" spans="1:14" ht="12.5" x14ac:dyDescent="0.25">
      <c r="A3">
        <v>2</v>
      </c>
      <c r="B3" s="2" t="s">
        <v>32</v>
      </c>
      <c r="C3" s="2">
        <v>2021</v>
      </c>
      <c r="D3" s="2" t="s">
        <v>33</v>
      </c>
      <c r="E3" s="2" t="s">
        <v>230</v>
      </c>
      <c r="F3" t="s">
        <v>221</v>
      </c>
      <c r="G3" t="s">
        <v>56</v>
      </c>
      <c r="H3" t="s">
        <v>149</v>
      </c>
      <c r="I3" t="s">
        <v>225</v>
      </c>
      <c r="J3" t="s">
        <v>30</v>
      </c>
      <c r="K3">
        <v>1</v>
      </c>
      <c r="L3">
        <v>0.77</v>
      </c>
      <c r="M3">
        <v>0.6</v>
      </c>
      <c r="N3">
        <v>1</v>
      </c>
    </row>
    <row r="4" spans="1:14" ht="12.5" x14ac:dyDescent="0.25">
      <c r="A4">
        <v>2</v>
      </c>
      <c r="B4" s="2" t="s">
        <v>32</v>
      </c>
      <c r="C4" s="2">
        <v>2021</v>
      </c>
      <c r="D4" s="2" t="s">
        <v>33</v>
      </c>
      <c r="E4" s="2" t="s">
        <v>230</v>
      </c>
      <c r="F4" t="s">
        <v>221</v>
      </c>
      <c r="G4" t="s">
        <v>56</v>
      </c>
      <c r="H4" t="s">
        <v>149</v>
      </c>
      <c r="I4" t="s">
        <v>48</v>
      </c>
      <c r="J4" t="s">
        <v>30</v>
      </c>
      <c r="K4">
        <v>1</v>
      </c>
      <c r="L4">
        <v>0.88</v>
      </c>
      <c r="M4">
        <v>0.67</v>
      </c>
      <c r="N4">
        <v>1.1499999999999999</v>
      </c>
    </row>
    <row r="5" spans="1:14" ht="12.5" x14ac:dyDescent="0.25">
      <c r="A5">
        <v>2</v>
      </c>
      <c r="B5" s="2" t="s">
        <v>32</v>
      </c>
      <c r="C5" s="2">
        <v>2021</v>
      </c>
      <c r="D5" s="2" t="s">
        <v>33</v>
      </c>
      <c r="E5" s="2" t="s">
        <v>230</v>
      </c>
      <c r="F5" t="s">
        <v>221</v>
      </c>
      <c r="G5" t="s">
        <v>56</v>
      </c>
      <c r="H5" t="s">
        <v>149</v>
      </c>
      <c r="I5" t="s">
        <v>50</v>
      </c>
      <c r="J5" t="s">
        <v>30</v>
      </c>
      <c r="K5">
        <v>1</v>
      </c>
      <c r="L5">
        <v>0.54</v>
      </c>
      <c r="M5">
        <v>0.18</v>
      </c>
      <c r="N5">
        <v>1.63</v>
      </c>
    </row>
    <row r="6" spans="1:14" ht="12.5" x14ac:dyDescent="0.25">
      <c r="A6">
        <v>2</v>
      </c>
      <c r="B6" s="2" t="s">
        <v>32</v>
      </c>
      <c r="C6" s="2">
        <v>2021</v>
      </c>
      <c r="D6" s="2" t="s">
        <v>33</v>
      </c>
      <c r="E6" s="2" t="s">
        <v>230</v>
      </c>
      <c r="F6" t="s">
        <v>221</v>
      </c>
      <c r="G6" t="s">
        <v>56</v>
      </c>
      <c r="H6" t="s">
        <v>37</v>
      </c>
      <c r="I6" t="s">
        <v>225</v>
      </c>
      <c r="J6" t="s">
        <v>30</v>
      </c>
      <c r="L6">
        <v>1.1599999999999999</v>
      </c>
      <c r="M6">
        <v>0.75</v>
      </c>
      <c r="N6">
        <v>1.78</v>
      </c>
    </row>
    <row r="7" spans="1:14" ht="12.5" x14ac:dyDescent="0.25">
      <c r="A7">
        <v>2</v>
      </c>
      <c r="B7" s="2" t="s">
        <v>32</v>
      </c>
      <c r="C7" s="2">
        <v>2021</v>
      </c>
      <c r="D7" s="2" t="s">
        <v>33</v>
      </c>
      <c r="E7" s="2" t="s">
        <v>230</v>
      </c>
      <c r="F7" t="s">
        <v>221</v>
      </c>
      <c r="G7" t="s">
        <v>56</v>
      </c>
      <c r="H7" t="s">
        <v>37</v>
      </c>
      <c r="I7" t="s">
        <v>48</v>
      </c>
      <c r="J7" t="s">
        <v>30</v>
      </c>
      <c r="L7">
        <v>1.22</v>
      </c>
      <c r="M7">
        <v>0.76</v>
      </c>
      <c r="N7">
        <v>1.96</v>
      </c>
    </row>
    <row r="8" spans="1:14" ht="12.5" x14ac:dyDescent="0.25">
      <c r="A8">
        <v>2</v>
      </c>
      <c r="B8" s="2" t="s">
        <v>32</v>
      </c>
      <c r="C8" s="2">
        <v>2021</v>
      </c>
      <c r="D8" s="2" t="s">
        <v>33</v>
      </c>
      <c r="E8" s="2" t="s">
        <v>230</v>
      </c>
      <c r="F8" t="s">
        <v>221</v>
      </c>
      <c r="G8" t="s">
        <v>56</v>
      </c>
      <c r="H8" t="s">
        <v>37</v>
      </c>
      <c r="I8" t="s">
        <v>50</v>
      </c>
      <c r="J8" t="s">
        <v>30</v>
      </c>
      <c r="L8">
        <v>1</v>
      </c>
      <c r="M8">
        <v>0.28000000000000003</v>
      </c>
      <c r="N8">
        <v>3.61</v>
      </c>
    </row>
    <row r="9" spans="1:14" ht="12.5" x14ac:dyDescent="0.25">
      <c r="A9">
        <v>2</v>
      </c>
      <c r="B9" s="2" t="s">
        <v>32</v>
      </c>
      <c r="C9" s="2">
        <v>2021</v>
      </c>
      <c r="D9" s="2" t="s">
        <v>33</v>
      </c>
      <c r="E9" s="2" t="s">
        <v>230</v>
      </c>
      <c r="F9" t="s">
        <v>221</v>
      </c>
      <c r="G9" t="s">
        <v>56</v>
      </c>
      <c r="H9" t="s">
        <v>38</v>
      </c>
      <c r="I9" t="s">
        <v>225</v>
      </c>
      <c r="J9" t="s">
        <v>30</v>
      </c>
      <c r="L9">
        <v>0.62</v>
      </c>
      <c r="M9">
        <v>0.45</v>
      </c>
      <c r="N9">
        <v>0.85</v>
      </c>
    </row>
    <row r="10" spans="1:14" ht="12.5" x14ac:dyDescent="0.25">
      <c r="A10">
        <v>2</v>
      </c>
      <c r="B10" s="2" t="s">
        <v>32</v>
      </c>
      <c r="C10" s="2">
        <v>2021</v>
      </c>
      <c r="D10" s="2" t="s">
        <v>33</v>
      </c>
      <c r="E10" s="2" t="s">
        <v>230</v>
      </c>
      <c r="F10" t="s">
        <v>221</v>
      </c>
      <c r="G10" t="s">
        <v>56</v>
      </c>
      <c r="H10" t="s">
        <v>38</v>
      </c>
      <c r="I10" t="s">
        <v>48</v>
      </c>
      <c r="J10" t="s">
        <v>30</v>
      </c>
      <c r="L10">
        <v>0.75</v>
      </c>
      <c r="M10">
        <v>0.54</v>
      </c>
      <c r="N10">
        <v>1.04</v>
      </c>
    </row>
    <row r="11" spans="1:14" ht="12.5" x14ac:dyDescent="0.25">
      <c r="A11">
        <v>2</v>
      </c>
      <c r="B11" s="2" t="s">
        <v>32</v>
      </c>
      <c r="C11" s="2">
        <v>2021</v>
      </c>
      <c r="D11" s="2" t="s">
        <v>33</v>
      </c>
      <c r="E11" s="2" t="s">
        <v>230</v>
      </c>
      <c r="F11" t="s">
        <v>221</v>
      </c>
      <c r="G11" t="s">
        <v>56</v>
      </c>
      <c r="H11" t="s">
        <v>38</v>
      </c>
      <c r="I11" t="s">
        <v>50</v>
      </c>
      <c r="J11" t="s">
        <v>30</v>
      </c>
      <c r="L11">
        <v>0.1</v>
      </c>
      <c r="M11">
        <v>0.01</v>
      </c>
      <c r="N11">
        <v>0.71</v>
      </c>
    </row>
    <row r="12" spans="1:14" ht="12.5" x14ac:dyDescent="0.25">
      <c r="A12">
        <v>3</v>
      </c>
      <c r="B12" s="2" t="s">
        <v>40</v>
      </c>
      <c r="C12" s="2">
        <v>2023</v>
      </c>
      <c r="D12" s="2" t="s">
        <v>41</v>
      </c>
      <c r="E12" s="2" t="s">
        <v>230</v>
      </c>
      <c r="F12" t="s">
        <v>221</v>
      </c>
      <c r="G12" t="s">
        <v>56</v>
      </c>
      <c r="H12" t="s">
        <v>149</v>
      </c>
      <c r="I12" t="s">
        <v>225</v>
      </c>
      <c r="J12" t="s">
        <v>30</v>
      </c>
      <c r="K12">
        <v>1</v>
      </c>
      <c r="L12">
        <v>0.69</v>
      </c>
      <c r="M12">
        <v>0.57999999999999996</v>
      </c>
      <c r="N12">
        <v>0.82</v>
      </c>
    </row>
    <row r="13" spans="1:14" ht="12.5" x14ac:dyDescent="0.25">
      <c r="A13">
        <v>3</v>
      </c>
      <c r="B13" s="2" t="s">
        <v>40</v>
      </c>
      <c r="C13" s="2">
        <v>2023</v>
      </c>
      <c r="D13" s="2" t="s">
        <v>41</v>
      </c>
      <c r="E13" s="2" t="s">
        <v>230</v>
      </c>
      <c r="F13" t="s">
        <v>221</v>
      </c>
      <c r="G13" t="s">
        <v>56</v>
      </c>
      <c r="H13" t="s">
        <v>149</v>
      </c>
      <c r="I13" t="s">
        <v>48</v>
      </c>
      <c r="J13" t="s">
        <v>30</v>
      </c>
      <c r="K13">
        <v>1</v>
      </c>
      <c r="L13">
        <v>0.73</v>
      </c>
      <c r="M13">
        <v>0.6</v>
      </c>
      <c r="N13">
        <v>0.87</v>
      </c>
    </row>
    <row r="14" spans="1:14" ht="12.5" x14ac:dyDescent="0.25">
      <c r="A14">
        <v>3</v>
      </c>
      <c r="B14" s="2" t="s">
        <v>40</v>
      </c>
      <c r="C14" s="2">
        <v>2023</v>
      </c>
      <c r="D14" s="2" t="s">
        <v>41</v>
      </c>
      <c r="E14" s="2" t="s">
        <v>230</v>
      </c>
      <c r="F14" t="s">
        <v>221</v>
      </c>
      <c r="G14" t="s">
        <v>56</v>
      </c>
      <c r="H14" t="s">
        <v>149</v>
      </c>
      <c r="I14" t="s">
        <v>50</v>
      </c>
      <c r="J14" t="s">
        <v>30</v>
      </c>
      <c r="K14">
        <v>1</v>
      </c>
      <c r="L14">
        <v>0.46</v>
      </c>
      <c r="M14">
        <v>0.31</v>
      </c>
      <c r="N14">
        <v>0.87</v>
      </c>
    </row>
    <row r="15" spans="1:14" ht="12.5" x14ac:dyDescent="0.25">
      <c r="A15">
        <v>3</v>
      </c>
      <c r="B15" s="2" t="s">
        <v>40</v>
      </c>
      <c r="C15" s="2">
        <v>2023</v>
      </c>
      <c r="D15" s="2" t="s">
        <v>41</v>
      </c>
      <c r="E15" s="2" t="s">
        <v>230</v>
      </c>
      <c r="F15" t="s">
        <v>221</v>
      </c>
      <c r="G15" t="s">
        <v>232</v>
      </c>
      <c r="H15" t="s">
        <v>149</v>
      </c>
      <c r="I15" t="s">
        <v>225</v>
      </c>
      <c r="J15" t="s">
        <v>30</v>
      </c>
      <c r="L15">
        <v>0.74</v>
      </c>
      <c r="M15">
        <v>0.53</v>
      </c>
      <c r="N15">
        <v>1.03</v>
      </c>
    </row>
    <row r="16" spans="1:14" ht="27.65" customHeight="1" x14ac:dyDescent="0.25">
      <c r="A16">
        <v>3</v>
      </c>
      <c r="B16" s="2" t="s">
        <v>40</v>
      </c>
      <c r="C16" s="2">
        <v>2023</v>
      </c>
      <c r="D16" s="2" t="s">
        <v>41</v>
      </c>
      <c r="E16" s="2" t="s">
        <v>230</v>
      </c>
      <c r="F16" t="s">
        <v>221</v>
      </c>
      <c r="G16" t="s">
        <v>223</v>
      </c>
      <c r="H16" t="s">
        <v>149</v>
      </c>
      <c r="I16" t="s">
        <v>225</v>
      </c>
      <c r="J16" t="s">
        <v>30</v>
      </c>
      <c r="L16">
        <v>0.72</v>
      </c>
      <c r="M16">
        <v>0.55000000000000004</v>
      </c>
      <c r="N16">
        <v>0.95</v>
      </c>
    </row>
    <row r="17" spans="1:14" ht="12.5" x14ac:dyDescent="0.25">
      <c r="A17">
        <v>3</v>
      </c>
      <c r="B17" s="2" t="s">
        <v>40</v>
      </c>
      <c r="C17" s="2">
        <v>2023</v>
      </c>
      <c r="D17" s="2" t="s">
        <v>41</v>
      </c>
      <c r="E17" s="2" t="s">
        <v>230</v>
      </c>
      <c r="F17" t="s">
        <v>221</v>
      </c>
      <c r="G17" t="s">
        <v>222</v>
      </c>
      <c r="H17" t="s">
        <v>149</v>
      </c>
      <c r="I17" t="s">
        <v>225</v>
      </c>
      <c r="J17" t="s">
        <v>30</v>
      </c>
      <c r="L17">
        <v>0.55000000000000004</v>
      </c>
      <c r="M17">
        <v>0.42</v>
      </c>
      <c r="N17">
        <v>0.73</v>
      </c>
    </row>
    <row r="18" spans="1:14" ht="12.5" x14ac:dyDescent="0.25">
      <c r="A18">
        <v>3</v>
      </c>
      <c r="B18" s="2" t="s">
        <v>40</v>
      </c>
      <c r="C18" s="2">
        <v>2023</v>
      </c>
      <c r="D18" s="2" t="s">
        <v>41</v>
      </c>
      <c r="E18" s="2" t="s">
        <v>230</v>
      </c>
      <c r="F18" t="s">
        <v>221</v>
      </c>
      <c r="G18" t="s">
        <v>231</v>
      </c>
      <c r="H18" t="s">
        <v>149</v>
      </c>
      <c r="I18" t="s">
        <v>225</v>
      </c>
      <c r="J18" t="s">
        <v>30</v>
      </c>
      <c r="L18">
        <v>0.63</v>
      </c>
      <c r="M18">
        <v>0.52</v>
      </c>
      <c r="N18">
        <v>0.77</v>
      </c>
    </row>
    <row r="19" spans="1:14" ht="12.5" x14ac:dyDescent="0.25">
      <c r="A19">
        <v>3</v>
      </c>
      <c r="B19" s="2" t="s">
        <v>40</v>
      </c>
      <c r="C19" s="2">
        <v>2023</v>
      </c>
      <c r="D19" s="2" t="s">
        <v>41</v>
      </c>
      <c r="E19" s="2" t="s">
        <v>230</v>
      </c>
      <c r="F19" t="s">
        <v>213</v>
      </c>
      <c r="G19" t="s">
        <v>56</v>
      </c>
      <c r="H19" t="s">
        <v>149</v>
      </c>
      <c r="I19" t="s">
        <v>225</v>
      </c>
      <c r="J19" t="s">
        <v>30</v>
      </c>
      <c r="L19">
        <v>0.61</v>
      </c>
      <c r="M19">
        <v>0.51</v>
      </c>
      <c r="N19">
        <v>0.73</v>
      </c>
    </row>
    <row r="20" spans="1:14" ht="30.75" customHeight="1" x14ac:dyDescent="0.25">
      <c r="A20">
        <v>3</v>
      </c>
      <c r="B20" s="2" t="s">
        <v>40</v>
      </c>
      <c r="C20" s="2">
        <v>2023</v>
      </c>
      <c r="D20" s="2" t="s">
        <v>41</v>
      </c>
      <c r="E20" s="2" t="s">
        <v>230</v>
      </c>
      <c r="F20" t="s">
        <v>214</v>
      </c>
      <c r="G20" t="s">
        <v>56</v>
      </c>
      <c r="H20" t="s">
        <v>149</v>
      </c>
      <c r="I20" t="s">
        <v>225</v>
      </c>
      <c r="J20" t="s">
        <v>30</v>
      </c>
      <c r="L20">
        <v>1.21</v>
      </c>
      <c r="M20">
        <v>0.78</v>
      </c>
      <c r="N20">
        <v>1.88</v>
      </c>
    </row>
    <row r="21" spans="1:14" ht="30.75" customHeight="1" x14ac:dyDescent="0.25">
      <c r="A21">
        <v>4</v>
      </c>
      <c r="B21" s="2" t="s">
        <v>51</v>
      </c>
      <c r="C21" s="2">
        <v>2021</v>
      </c>
      <c r="D21" s="2" t="s">
        <v>33</v>
      </c>
      <c r="E21" s="2" t="s">
        <v>65</v>
      </c>
      <c r="F21" t="s">
        <v>221</v>
      </c>
      <c r="G21" t="s">
        <v>56</v>
      </c>
      <c r="H21" t="s">
        <v>221</v>
      </c>
      <c r="I21" t="s">
        <v>225</v>
      </c>
      <c r="J21" t="s">
        <v>59</v>
      </c>
      <c r="K21">
        <v>1</v>
      </c>
      <c r="L21">
        <v>0.72</v>
      </c>
      <c r="M21">
        <v>0.56000000000000005</v>
      </c>
      <c r="N21">
        <v>0.93</v>
      </c>
    </row>
    <row r="22" spans="1:14" ht="12.5" x14ac:dyDescent="0.25">
      <c r="A22">
        <v>4</v>
      </c>
      <c r="B22" s="2" t="s">
        <v>51</v>
      </c>
      <c r="C22" s="2">
        <v>2021</v>
      </c>
      <c r="D22" s="2" t="s">
        <v>33</v>
      </c>
      <c r="E22" s="2" t="s">
        <v>65</v>
      </c>
      <c r="F22" t="s">
        <v>221</v>
      </c>
      <c r="G22" t="s">
        <v>218</v>
      </c>
      <c r="H22" t="s">
        <v>221</v>
      </c>
      <c r="I22" t="s">
        <v>225</v>
      </c>
      <c r="J22" t="s">
        <v>59</v>
      </c>
      <c r="L22">
        <v>0.72</v>
      </c>
      <c r="M22">
        <v>0.3</v>
      </c>
      <c r="N22">
        <v>1.75</v>
      </c>
    </row>
    <row r="23" spans="1:14" ht="27.65" customHeight="1" x14ac:dyDescent="0.25">
      <c r="A23">
        <v>4</v>
      </c>
      <c r="B23" s="2" t="s">
        <v>51</v>
      </c>
      <c r="C23" s="2">
        <v>2021</v>
      </c>
      <c r="D23" s="2" t="s">
        <v>33</v>
      </c>
      <c r="E23" s="2" t="s">
        <v>65</v>
      </c>
      <c r="F23" t="s">
        <v>221</v>
      </c>
      <c r="G23" t="s">
        <v>219</v>
      </c>
      <c r="H23" t="s">
        <v>221</v>
      </c>
      <c r="I23" t="s">
        <v>225</v>
      </c>
      <c r="J23" t="s">
        <v>59</v>
      </c>
      <c r="L23">
        <v>0.55000000000000004</v>
      </c>
      <c r="M23">
        <v>0.22</v>
      </c>
      <c r="N23">
        <v>1.4</v>
      </c>
    </row>
    <row r="24" spans="1:14" ht="27.65" customHeight="1" x14ac:dyDescent="0.25">
      <c r="A24">
        <v>4</v>
      </c>
      <c r="B24" s="2" t="s">
        <v>51</v>
      </c>
      <c r="C24" s="2">
        <v>2021</v>
      </c>
      <c r="D24" s="2" t="s">
        <v>33</v>
      </c>
      <c r="E24" s="2" t="s">
        <v>65</v>
      </c>
      <c r="F24" t="s">
        <v>221</v>
      </c>
      <c r="G24" t="s">
        <v>232</v>
      </c>
      <c r="H24" t="s">
        <v>221</v>
      </c>
      <c r="I24" t="s">
        <v>225</v>
      </c>
      <c r="J24" t="s">
        <v>59</v>
      </c>
      <c r="L24">
        <v>0.63</v>
      </c>
      <c r="M24">
        <v>0.33</v>
      </c>
      <c r="N24">
        <v>1.2</v>
      </c>
    </row>
    <row r="25" spans="1:14" ht="21" customHeight="1" x14ac:dyDescent="0.25">
      <c r="A25">
        <v>4</v>
      </c>
      <c r="B25" s="2" t="s">
        <v>51</v>
      </c>
      <c r="C25" s="2">
        <v>2021</v>
      </c>
      <c r="D25" s="2" t="s">
        <v>33</v>
      </c>
      <c r="E25" s="2" t="s">
        <v>65</v>
      </c>
      <c r="F25" t="s">
        <v>221</v>
      </c>
      <c r="G25" t="s">
        <v>231</v>
      </c>
      <c r="H25" t="s">
        <v>221</v>
      </c>
      <c r="I25" t="s">
        <v>225</v>
      </c>
      <c r="J25" t="s">
        <v>59</v>
      </c>
      <c r="L25">
        <v>0.7</v>
      </c>
      <c r="M25">
        <v>0.52</v>
      </c>
      <c r="N25">
        <v>0.94</v>
      </c>
    </row>
    <row r="26" spans="1:14" ht="21" customHeight="1" x14ac:dyDescent="0.25">
      <c r="A26">
        <v>4</v>
      </c>
      <c r="B26" s="2" t="s">
        <v>51</v>
      </c>
      <c r="C26" s="2">
        <v>2015</v>
      </c>
      <c r="D26" s="2" t="s">
        <v>33</v>
      </c>
      <c r="E26" s="2" t="s">
        <v>65</v>
      </c>
      <c r="F26" t="s">
        <v>221</v>
      </c>
      <c r="G26" t="s">
        <v>56</v>
      </c>
      <c r="H26" t="s">
        <v>221</v>
      </c>
      <c r="I26" t="s">
        <v>225</v>
      </c>
      <c r="J26" t="s">
        <v>59</v>
      </c>
      <c r="L26">
        <v>0.65</v>
      </c>
      <c r="M26">
        <v>0.52</v>
      </c>
      <c r="N26">
        <v>0.81</v>
      </c>
    </row>
    <row r="27" spans="1:14" ht="21" customHeight="1" x14ac:dyDescent="0.25">
      <c r="A27">
        <v>4</v>
      </c>
      <c r="B27" s="2" t="s">
        <v>51</v>
      </c>
      <c r="C27" s="2">
        <v>2015</v>
      </c>
      <c r="D27" s="2" t="s">
        <v>33</v>
      </c>
      <c r="E27" s="2" t="s">
        <v>65</v>
      </c>
      <c r="F27" t="s">
        <v>221</v>
      </c>
      <c r="G27" t="s">
        <v>56</v>
      </c>
      <c r="H27" t="s">
        <v>221</v>
      </c>
      <c r="I27" t="s">
        <v>48</v>
      </c>
      <c r="J27" t="s">
        <v>59</v>
      </c>
      <c r="K27">
        <v>1</v>
      </c>
      <c r="L27">
        <v>0.71</v>
      </c>
      <c r="M27">
        <v>0.56000000000000005</v>
      </c>
      <c r="N27">
        <v>0.81</v>
      </c>
    </row>
    <row r="28" spans="1:14" ht="21" customHeight="1" x14ac:dyDescent="0.25">
      <c r="A28">
        <v>4</v>
      </c>
      <c r="B28" s="2" t="s">
        <v>51</v>
      </c>
      <c r="C28" s="2">
        <v>2015</v>
      </c>
      <c r="D28" s="2" t="s">
        <v>33</v>
      </c>
      <c r="E28" s="2" t="s">
        <v>65</v>
      </c>
      <c r="F28" t="s">
        <v>221</v>
      </c>
      <c r="G28" t="s">
        <v>56</v>
      </c>
      <c r="H28" t="s">
        <v>221</v>
      </c>
      <c r="I28" t="s">
        <v>50</v>
      </c>
      <c r="J28" t="s">
        <v>59</v>
      </c>
      <c r="K28">
        <v>1</v>
      </c>
      <c r="L28">
        <v>0.35</v>
      </c>
      <c r="M28">
        <v>0.17</v>
      </c>
      <c r="N28">
        <v>0.73</v>
      </c>
    </row>
    <row r="29" spans="1:14" ht="21" customHeight="1" x14ac:dyDescent="0.25">
      <c r="A29">
        <v>4</v>
      </c>
      <c r="B29" s="2" t="s">
        <v>51</v>
      </c>
      <c r="C29" s="2">
        <v>2015</v>
      </c>
      <c r="D29" s="2" t="s">
        <v>33</v>
      </c>
      <c r="E29" s="2" t="s">
        <v>65</v>
      </c>
      <c r="F29" t="s">
        <v>221</v>
      </c>
      <c r="G29" t="s">
        <v>218</v>
      </c>
      <c r="H29" t="s">
        <v>221</v>
      </c>
      <c r="I29" t="s">
        <v>48</v>
      </c>
      <c r="J29" t="s">
        <v>59</v>
      </c>
      <c r="L29">
        <v>1.44</v>
      </c>
      <c r="M29">
        <v>0.6</v>
      </c>
      <c r="N29">
        <v>3.48</v>
      </c>
    </row>
    <row r="30" spans="1:14" ht="21" customHeight="1" x14ac:dyDescent="0.25">
      <c r="A30">
        <v>4</v>
      </c>
      <c r="B30" s="2" t="s">
        <v>51</v>
      </c>
      <c r="C30" s="2">
        <v>2015</v>
      </c>
      <c r="D30" s="2" t="s">
        <v>33</v>
      </c>
      <c r="E30" s="2" t="s">
        <v>65</v>
      </c>
      <c r="F30" t="s">
        <v>221</v>
      </c>
      <c r="G30" t="s">
        <v>218</v>
      </c>
      <c r="H30" t="s">
        <v>221</v>
      </c>
      <c r="I30" t="s">
        <v>50</v>
      </c>
      <c r="J30" t="s">
        <v>59</v>
      </c>
      <c r="L30">
        <v>0.61</v>
      </c>
      <c r="M30">
        <v>0.08</v>
      </c>
      <c r="N30">
        <v>4.6100000000000003</v>
      </c>
    </row>
    <row r="31" spans="1:14" ht="21" customHeight="1" x14ac:dyDescent="0.25">
      <c r="A31">
        <v>4</v>
      </c>
      <c r="B31" s="2" t="s">
        <v>51</v>
      </c>
      <c r="C31" s="2">
        <v>2015</v>
      </c>
      <c r="D31" s="2" t="s">
        <v>33</v>
      </c>
      <c r="E31" s="2" t="s">
        <v>65</v>
      </c>
      <c r="F31" t="s">
        <v>221</v>
      </c>
      <c r="G31" t="s">
        <v>219</v>
      </c>
      <c r="H31" t="s">
        <v>221</v>
      </c>
      <c r="I31" t="s">
        <v>48</v>
      </c>
      <c r="J31" t="s">
        <v>59</v>
      </c>
      <c r="L31">
        <v>0.64</v>
      </c>
      <c r="M31">
        <v>0.21</v>
      </c>
      <c r="N31">
        <v>1.93</v>
      </c>
    </row>
    <row r="32" spans="1:14" ht="21" customHeight="1" x14ac:dyDescent="0.25">
      <c r="A32">
        <v>4</v>
      </c>
      <c r="B32" s="2" t="s">
        <v>51</v>
      </c>
      <c r="C32" s="2">
        <v>2015</v>
      </c>
      <c r="D32" s="2" t="s">
        <v>33</v>
      </c>
      <c r="E32" s="2" t="s">
        <v>65</v>
      </c>
      <c r="F32" t="s">
        <v>221</v>
      </c>
      <c r="G32" t="s">
        <v>219</v>
      </c>
      <c r="H32" t="s">
        <v>221</v>
      </c>
      <c r="I32" t="s">
        <v>50</v>
      </c>
      <c r="J32" t="s">
        <v>59</v>
      </c>
    </row>
    <row r="33" spans="1:14" ht="21" customHeight="1" x14ac:dyDescent="0.25">
      <c r="A33">
        <v>4</v>
      </c>
      <c r="B33" s="2" t="s">
        <v>51</v>
      </c>
      <c r="C33" s="2">
        <v>2015</v>
      </c>
      <c r="D33" s="2" t="s">
        <v>33</v>
      </c>
      <c r="E33" s="2" t="s">
        <v>65</v>
      </c>
      <c r="F33" t="s">
        <v>221</v>
      </c>
      <c r="G33" t="s">
        <v>231</v>
      </c>
      <c r="H33" t="s">
        <v>221</v>
      </c>
      <c r="I33" t="s">
        <v>48</v>
      </c>
      <c r="J33" t="s">
        <v>59</v>
      </c>
      <c r="L33">
        <v>0.68</v>
      </c>
      <c r="M33">
        <v>0.52</v>
      </c>
      <c r="N33">
        <v>0.9</v>
      </c>
    </row>
    <row r="34" spans="1:14" ht="21" customHeight="1" x14ac:dyDescent="0.25">
      <c r="A34">
        <v>4</v>
      </c>
      <c r="B34" s="2" t="s">
        <v>51</v>
      </c>
      <c r="C34" s="2">
        <v>2015</v>
      </c>
      <c r="D34" s="2" t="s">
        <v>33</v>
      </c>
      <c r="E34" s="2" t="s">
        <v>65</v>
      </c>
      <c r="F34" t="s">
        <v>221</v>
      </c>
      <c r="G34" t="s">
        <v>231</v>
      </c>
      <c r="H34" t="s">
        <v>221</v>
      </c>
      <c r="I34" t="s">
        <v>50</v>
      </c>
      <c r="J34" t="s">
        <v>59</v>
      </c>
      <c r="L34">
        <v>0.39</v>
      </c>
      <c r="M34">
        <v>0.18</v>
      </c>
      <c r="N34">
        <v>0.87</v>
      </c>
    </row>
    <row r="35" spans="1:14" ht="21" customHeight="1" x14ac:dyDescent="0.25">
      <c r="A35">
        <v>5</v>
      </c>
      <c r="B35" s="2" t="s">
        <v>63</v>
      </c>
      <c r="C35" s="2">
        <v>2023</v>
      </c>
      <c r="D35" s="2" t="s">
        <v>75</v>
      </c>
      <c r="E35" s="2" t="s">
        <v>65</v>
      </c>
      <c r="F35" t="s">
        <v>221</v>
      </c>
      <c r="G35" t="s">
        <v>56</v>
      </c>
      <c r="H35" t="s">
        <v>212</v>
      </c>
      <c r="I35" t="s">
        <v>50</v>
      </c>
      <c r="J35" t="s">
        <v>59</v>
      </c>
      <c r="K35">
        <v>1</v>
      </c>
      <c r="L35">
        <v>0.55000000000000004</v>
      </c>
      <c r="M35">
        <v>0.28999999999999998</v>
      </c>
      <c r="N35">
        <v>1.05</v>
      </c>
    </row>
    <row r="36" spans="1:14" ht="12.5" x14ac:dyDescent="0.25">
      <c r="A36">
        <v>5</v>
      </c>
      <c r="B36" s="2" t="s">
        <v>63</v>
      </c>
      <c r="C36" s="2">
        <v>2023</v>
      </c>
      <c r="D36" s="2" t="s">
        <v>75</v>
      </c>
      <c r="E36" s="2" t="s">
        <v>65</v>
      </c>
      <c r="F36" t="s">
        <v>221</v>
      </c>
      <c r="G36" t="s">
        <v>56</v>
      </c>
      <c r="H36" t="s">
        <v>212</v>
      </c>
      <c r="I36" t="s">
        <v>225</v>
      </c>
      <c r="J36" t="s">
        <v>59</v>
      </c>
      <c r="K36">
        <v>1</v>
      </c>
      <c r="L36">
        <v>0.82</v>
      </c>
      <c r="M36">
        <v>0.55000000000000004</v>
      </c>
      <c r="N36">
        <v>1.21</v>
      </c>
    </row>
    <row r="37" spans="1:14" ht="12.5" x14ac:dyDescent="0.25">
      <c r="A37">
        <v>6</v>
      </c>
      <c r="B37" s="2" t="s">
        <v>91</v>
      </c>
      <c r="C37" s="2">
        <v>2014</v>
      </c>
      <c r="D37" s="2" t="s">
        <v>224</v>
      </c>
      <c r="E37" s="2" t="s">
        <v>230</v>
      </c>
      <c r="F37" t="s">
        <v>221</v>
      </c>
      <c r="G37" t="s">
        <v>56</v>
      </c>
      <c r="H37" t="s">
        <v>212</v>
      </c>
      <c r="I37" t="s">
        <v>225</v>
      </c>
      <c r="J37" t="s">
        <v>30</v>
      </c>
      <c r="K37">
        <v>1</v>
      </c>
      <c r="L37">
        <v>0.36</v>
      </c>
      <c r="M37">
        <v>0.13</v>
      </c>
      <c r="N37">
        <v>1.02</v>
      </c>
    </row>
    <row r="38" spans="1:14" ht="12.5" x14ac:dyDescent="0.25">
      <c r="A38">
        <v>6</v>
      </c>
      <c r="B38" s="2" t="s">
        <v>91</v>
      </c>
      <c r="C38" s="2">
        <v>2014</v>
      </c>
      <c r="D38" s="2" t="s">
        <v>224</v>
      </c>
      <c r="E38" s="2" t="s">
        <v>230</v>
      </c>
      <c r="F38" t="s">
        <v>221</v>
      </c>
      <c r="G38" t="s">
        <v>56</v>
      </c>
      <c r="H38" t="s">
        <v>212</v>
      </c>
      <c r="I38" t="s">
        <v>50</v>
      </c>
      <c r="J38" t="s">
        <v>30</v>
      </c>
      <c r="K38">
        <v>1</v>
      </c>
      <c r="L38">
        <v>0.15</v>
      </c>
      <c r="M38">
        <v>0.01</v>
      </c>
      <c r="N38">
        <v>2.63</v>
      </c>
    </row>
    <row r="39" spans="1:14" ht="12.5" x14ac:dyDescent="0.25">
      <c r="A39">
        <v>7</v>
      </c>
      <c r="B39" s="2" t="s">
        <v>100</v>
      </c>
      <c r="C39" s="2">
        <v>2014</v>
      </c>
      <c r="D39" s="2" t="s">
        <v>41</v>
      </c>
      <c r="E39" s="2" t="s">
        <v>101</v>
      </c>
      <c r="F39" t="s">
        <v>221</v>
      </c>
      <c r="G39" t="s">
        <v>56</v>
      </c>
      <c r="H39" t="s">
        <v>149</v>
      </c>
      <c r="I39" t="s">
        <v>225</v>
      </c>
      <c r="J39" t="s">
        <v>30</v>
      </c>
      <c r="L39">
        <v>0.83</v>
      </c>
      <c r="M39">
        <v>0.68</v>
      </c>
      <c r="N39">
        <v>1.02</v>
      </c>
    </row>
    <row r="40" spans="1:14" ht="12.5" x14ac:dyDescent="0.25">
      <c r="A40">
        <v>7</v>
      </c>
      <c r="B40" s="2" t="s">
        <v>100</v>
      </c>
      <c r="C40" s="2">
        <v>2015</v>
      </c>
      <c r="D40" s="2" t="s">
        <v>41</v>
      </c>
      <c r="E40" s="2" t="s">
        <v>101</v>
      </c>
      <c r="F40" t="s">
        <v>221</v>
      </c>
      <c r="G40" t="s">
        <v>56</v>
      </c>
      <c r="H40" t="s">
        <v>149</v>
      </c>
      <c r="I40" t="s">
        <v>48</v>
      </c>
      <c r="J40" t="s">
        <v>30</v>
      </c>
      <c r="L40">
        <v>0.9</v>
      </c>
      <c r="M40">
        <v>0.72</v>
      </c>
      <c r="N40">
        <v>1.1200000000000001</v>
      </c>
    </row>
    <row r="41" spans="1:14" ht="12.5" x14ac:dyDescent="0.25">
      <c r="A41">
        <v>7</v>
      </c>
      <c r="B41" s="2" t="s">
        <v>100</v>
      </c>
      <c r="C41" s="2">
        <v>2015</v>
      </c>
      <c r="D41" s="2" t="s">
        <v>41</v>
      </c>
      <c r="E41" s="2" t="s">
        <v>101</v>
      </c>
      <c r="F41" t="s">
        <v>221</v>
      </c>
      <c r="G41" t="s">
        <v>56</v>
      </c>
      <c r="H41" t="s">
        <v>149</v>
      </c>
      <c r="I41" t="s">
        <v>50</v>
      </c>
      <c r="J41" t="s">
        <v>30</v>
      </c>
      <c r="L41">
        <v>0.57999999999999996</v>
      </c>
      <c r="M41">
        <v>0.36</v>
      </c>
      <c r="N41">
        <v>0.95</v>
      </c>
    </row>
    <row r="42" spans="1:14" ht="34.5" customHeight="1" x14ac:dyDescent="0.25">
      <c r="A42">
        <v>8</v>
      </c>
      <c r="B42" s="2" t="s">
        <v>227</v>
      </c>
      <c r="C42" s="2">
        <v>2021</v>
      </c>
      <c r="D42" s="2" t="s">
        <v>110</v>
      </c>
      <c r="E42" s="2" t="s">
        <v>65</v>
      </c>
      <c r="F42" t="s">
        <v>221</v>
      </c>
      <c r="G42" t="s">
        <v>56</v>
      </c>
      <c r="H42" t="s">
        <v>56</v>
      </c>
      <c r="I42" t="s">
        <v>225</v>
      </c>
      <c r="J42" t="s">
        <v>59</v>
      </c>
      <c r="K42">
        <v>1</v>
      </c>
      <c r="L42">
        <v>0.76</v>
      </c>
      <c r="M42">
        <v>0.39</v>
      </c>
      <c r="N42">
        <v>1.47</v>
      </c>
    </row>
    <row r="43" spans="1:14" ht="34.5" customHeight="1" x14ac:dyDescent="0.25">
      <c r="A43">
        <v>8</v>
      </c>
      <c r="B43" s="2" t="s">
        <v>227</v>
      </c>
      <c r="C43" s="2">
        <v>2021</v>
      </c>
      <c r="D43" s="2" t="s">
        <v>110</v>
      </c>
      <c r="E43" s="2" t="s">
        <v>65</v>
      </c>
      <c r="F43" t="s">
        <v>221</v>
      </c>
      <c r="G43" t="s">
        <v>56</v>
      </c>
      <c r="H43" t="s">
        <v>56</v>
      </c>
      <c r="I43" t="s">
        <v>48</v>
      </c>
      <c r="J43" t="s">
        <v>59</v>
      </c>
      <c r="K43">
        <v>1</v>
      </c>
      <c r="L43">
        <v>0.81</v>
      </c>
      <c r="M43">
        <v>0.41</v>
      </c>
      <c r="N43">
        <v>1.59</v>
      </c>
    </row>
    <row r="44" spans="1:14" ht="34.5" customHeight="1" x14ac:dyDescent="0.25">
      <c r="A44">
        <v>8</v>
      </c>
      <c r="B44" s="2" t="s">
        <v>227</v>
      </c>
      <c r="C44" s="2">
        <v>2021</v>
      </c>
      <c r="D44" s="2" t="s">
        <v>110</v>
      </c>
      <c r="E44" s="2" t="s">
        <v>65</v>
      </c>
      <c r="F44" t="s">
        <v>221</v>
      </c>
      <c r="G44" t="s">
        <v>56</v>
      </c>
      <c r="H44" t="s">
        <v>56</v>
      </c>
      <c r="I44" t="s">
        <v>50</v>
      </c>
      <c r="J44" t="s">
        <v>59</v>
      </c>
      <c r="K44">
        <v>1</v>
      </c>
      <c r="L44">
        <v>0.52</v>
      </c>
      <c r="M44">
        <v>7.0000000000000007E-2</v>
      </c>
      <c r="N44">
        <v>3.81</v>
      </c>
    </row>
    <row r="45" spans="1:14" ht="34.5" customHeight="1" x14ac:dyDescent="0.25">
      <c r="A45">
        <v>9</v>
      </c>
      <c r="B45" s="2" t="s">
        <v>233</v>
      </c>
      <c r="C45" s="2">
        <v>2024</v>
      </c>
      <c r="D45" s="2" t="s">
        <v>83</v>
      </c>
      <c r="E45" s="2" t="s">
        <v>230</v>
      </c>
      <c r="F45" t="s">
        <v>221</v>
      </c>
      <c r="G45" t="s">
        <v>56</v>
      </c>
      <c r="H45" t="s">
        <v>56</v>
      </c>
      <c r="I45" t="s">
        <v>225</v>
      </c>
      <c r="J45" t="s">
        <v>59</v>
      </c>
      <c r="K45">
        <v>1</v>
      </c>
      <c r="L45">
        <v>0.7</v>
      </c>
      <c r="M45">
        <v>0.61</v>
      </c>
      <c r="N45">
        <v>0.8</v>
      </c>
    </row>
    <row r="46" spans="1:14" ht="30.65" customHeight="1" x14ac:dyDescent="0.25">
      <c r="A46">
        <v>10</v>
      </c>
      <c r="B46" t="s">
        <v>229</v>
      </c>
      <c r="C46">
        <v>2026</v>
      </c>
      <c r="D46" t="s">
        <v>119</v>
      </c>
      <c r="E46" s="2" t="s">
        <v>230</v>
      </c>
      <c r="F46" t="s">
        <v>221</v>
      </c>
      <c r="G46" t="s">
        <v>56</v>
      </c>
      <c r="H46" t="s">
        <v>56</v>
      </c>
      <c r="I46" t="s">
        <v>225</v>
      </c>
      <c r="J46" t="s">
        <v>30</v>
      </c>
      <c r="K46">
        <v>1</v>
      </c>
      <c r="L46">
        <v>0.58499999999999996</v>
      </c>
      <c r="M46">
        <v>0.4</v>
      </c>
      <c r="N46">
        <v>0.85599999999999998</v>
      </c>
    </row>
    <row r="47" spans="1:14" ht="24" customHeight="1" x14ac:dyDescent="0.25">
      <c r="A47">
        <v>10</v>
      </c>
      <c r="B47" t="s">
        <v>229</v>
      </c>
      <c r="C47">
        <v>2026</v>
      </c>
      <c r="D47" t="s">
        <v>119</v>
      </c>
      <c r="E47" s="2" t="s">
        <v>230</v>
      </c>
      <c r="F47" t="s">
        <v>221</v>
      </c>
      <c r="G47" t="s">
        <v>56</v>
      </c>
      <c r="H47" t="s">
        <v>56</v>
      </c>
      <c r="I47" t="s">
        <v>48</v>
      </c>
      <c r="J47" t="s">
        <v>30</v>
      </c>
      <c r="K47">
        <v>1</v>
      </c>
      <c r="L47">
        <v>0.85099999999999998</v>
      </c>
      <c r="M47">
        <v>0.438</v>
      </c>
      <c r="N47">
        <v>1.653</v>
      </c>
    </row>
    <row r="48" spans="1:14" ht="31.5" customHeight="1" x14ac:dyDescent="0.25">
      <c r="A48">
        <v>10</v>
      </c>
      <c r="B48" t="s">
        <v>229</v>
      </c>
      <c r="C48">
        <v>2026</v>
      </c>
      <c r="D48" t="s">
        <v>119</v>
      </c>
      <c r="E48" s="2" t="s">
        <v>230</v>
      </c>
      <c r="F48" t="s">
        <v>221</v>
      </c>
      <c r="G48" t="s">
        <v>56</v>
      </c>
      <c r="H48" t="s">
        <v>56</v>
      </c>
      <c r="I48" t="s">
        <v>50</v>
      </c>
      <c r="J48" t="s">
        <v>30</v>
      </c>
      <c r="K48">
        <v>1</v>
      </c>
      <c r="L48">
        <v>0.157</v>
      </c>
      <c r="M48">
        <v>2.1999999999999999E-2</v>
      </c>
      <c r="N48">
        <v>1.1419999999999999</v>
      </c>
    </row>
    <row r="49" spans="1:14" ht="38.5" customHeight="1" x14ac:dyDescent="0.25">
      <c r="A49">
        <v>10</v>
      </c>
      <c r="B49" t="s">
        <v>229</v>
      </c>
      <c r="C49">
        <v>2026</v>
      </c>
      <c r="D49" t="s">
        <v>119</v>
      </c>
      <c r="E49" s="2" t="s">
        <v>230</v>
      </c>
      <c r="F49" t="s">
        <v>213</v>
      </c>
      <c r="G49" t="s">
        <v>56</v>
      </c>
      <c r="H49" t="s">
        <v>56</v>
      </c>
      <c r="I49" t="s">
        <v>225</v>
      </c>
      <c r="J49" t="s">
        <v>30</v>
      </c>
      <c r="L49">
        <v>0.57799999999999996</v>
      </c>
      <c r="M49">
        <v>0.39100000000000001</v>
      </c>
      <c r="N49">
        <v>0.85599999999999998</v>
      </c>
    </row>
    <row r="50" spans="1:14" ht="39" customHeight="1" x14ac:dyDescent="0.25">
      <c r="A50">
        <v>10</v>
      </c>
      <c r="B50" t="s">
        <v>229</v>
      </c>
      <c r="C50">
        <v>2026</v>
      </c>
      <c r="D50" t="s">
        <v>119</v>
      </c>
      <c r="E50" s="2" t="s">
        <v>230</v>
      </c>
      <c r="F50" t="s">
        <v>221</v>
      </c>
      <c r="G50" t="s">
        <v>222</v>
      </c>
      <c r="H50" t="s">
        <v>56</v>
      </c>
      <c r="I50" t="s">
        <v>225</v>
      </c>
      <c r="J50" t="s">
        <v>30</v>
      </c>
      <c r="L50">
        <v>0.57999999999999996</v>
      </c>
      <c r="M50">
        <v>0.38</v>
      </c>
      <c r="N50">
        <v>0.88500000000000001</v>
      </c>
    </row>
    <row r="51" spans="1:14" ht="15.75" customHeight="1" x14ac:dyDescent="0.25">
      <c r="A51">
        <v>10</v>
      </c>
      <c r="B51" t="s">
        <v>229</v>
      </c>
      <c r="C51">
        <v>2026</v>
      </c>
      <c r="D51" t="s">
        <v>119</v>
      </c>
      <c r="E51" s="2" t="s">
        <v>230</v>
      </c>
      <c r="F51" t="s">
        <v>221</v>
      </c>
      <c r="G51" t="s">
        <v>231</v>
      </c>
      <c r="H51" t="s">
        <v>56</v>
      </c>
      <c r="I51" t="s">
        <v>225</v>
      </c>
      <c r="J51" t="s">
        <v>30</v>
      </c>
      <c r="L51">
        <v>0.53500000000000003</v>
      </c>
      <c r="M51">
        <v>0.35399999999999998</v>
      </c>
      <c r="N51">
        <v>0.80900000000000005</v>
      </c>
    </row>
  </sheetData>
  <autoFilter ref="B1:N46" xr:uid="{00000000-0009-0000-0000-000000000000}"/>
  <phoneticPr fontId="6" type="noConversion"/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1000"/>
  <sheetViews>
    <sheetView workbookViewId="0">
      <pane ySplit="1" topLeftCell="A2" activePane="bottomLeft" state="frozen"/>
      <selection pane="bottomLeft" activeCell="S8" sqref="S8"/>
    </sheetView>
  </sheetViews>
  <sheetFormatPr defaultColWidth="12.54296875" defaultRowHeight="15.75" customHeight="1" x14ac:dyDescent="0.25"/>
  <cols>
    <col min="1" max="10" width="12.54296875" style="2"/>
    <col min="13" max="15" width="12.54296875" style="2"/>
  </cols>
  <sheetData>
    <row r="1" spans="1:33" ht="15.75" customHeight="1" x14ac:dyDescent="0.3">
      <c r="A1" s="1" t="s">
        <v>120</v>
      </c>
      <c r="B1" s="1" t="s">
        <v>121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22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5.75" customHeight="1" x14ac:dyDescent="0.25">
      <c r="A2" s="2" t="s">
        <v>51</v>
      </c>
      <c r="B2" s="2">
        <v>2021</v>
      </c>
      <c r="C2" s="2" t="s">
        <v>33</v>
      </c>
      <c r="D2" s="2" t="s">
        <v>52</v>
      </c>
      <c r="E2" s="2" t="s">
        <v>26</v>
      </c>
      <c r="F2" s="2" t="s">
        <v>53</v>
      </c>
      <c r="G2" s="2" t="s">
        <v>35</v>
      </c>
      <c r="H2" s="2" t="s">
        <v>54</v>
      </c>
      <c r="I2" s="2" t="s">
        <v>55</v>
      </c>
      <c r="J2" s="2" t="s">
        <v>56</v>
      </c>
      <c r="K2" s="4">
        <v>12448</v>
      </c>
      <c r="L2" s="4">
        <v>5441621</v>
      </c>
      <c r="M2" s="4">
        <v>24895</v>
      </c>
      <c r="N2" s="4">
        <v>5429174</v>
      </c>
      <c r="O2" s="4">
        <f t="shared" ref="O2:O3" si="0">SUM(M2,N2)</f>
        <v>5454069</v>
      </c>
      <c r="P2" s="2" t="s">
        <v>57</v>
      </c>
      <c r="Q2" s="2" t="s">
        <v>58</v>
      </c>
      <c r="R2" s="2" t="s">
        <v>59</v>
      </c>
      <c r="S2" s="2">
        <v>0.72</v>
      </c>
      <c r="T2" s="2">
        <v>0.56000000000000005</v>
      </c>
      <c r="U2" s="2">
        <v>0.93</v>
      </c>
      <c r="V2" s="2" t="s">
        <v>60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 ht="15.75" customHeight="1" x14ac:dyDescent="0.25">
      <c r="A3" s="6" t="s">
        <v>74</v>
      </c>
      <c r="B3" s="6">
        <v>2022</v>
      </c>
      <c r="C3" s="7" t="s">
        <v>75</v>
      </c>
      <c r="D3" s="6" t="s">
        <v>76</v>
      </c>
      <c r="E3" s="6" t="s">
        <v>26</v>
      </c>
      <c r="F3" s="6" t="s">
        <v>77</v>
      </c>
      <c r="G3" s="6" t="s">
        <v>35</v>
      </c>
      <c r="H3" s="6" t="s">
        <v>78</v>
      </c>
      <c r="I3" s="6" t="s">
        <v>79</v>
      </c>
      <c r="J3" s="6" t="s">
        <v>80</v>
      </c>
      <c r="K3" s="6"/>
      <c r="L3" s="6"/>
      <c r="M3" s="8">
        <v>25889</v>
      </c>
      <c r="N3" s="8">
        <v>32080</v>
      </c>
      <c r="O3" s="8">
        <f t="shared" si="0"/>
        <v>57969</v>
      </c>
      <c r="P3" s="6"/>
      <c r="Q3" s="6"/>
      <c r="R3" s="6"/>
      <c r="S3" s="6"/>
      <c r="T3" s="6"/>
      <c r="U3" s="6"/>
      <c r="V3" s="6"/>
      <c r="W3" s="6" t="s">
        <v>81</v>
      </c>
      <c r="X3" s="6"/>
      <c r="Y3" s="6"/>
      <c r="Z3" s="6"/>
      <c r="AA3" s="6"/>
      <c r="AB3" s="6"/>
      <c r="AC3" s="6"/>
      <c r="AD3" s="6"/>
      <c r="AE3" s="6"/>
      <c r="AF3" s="6"/>
      <c r="AG3" s="6"/>
    </row>
    <row r="4" spans="1:33" ht="15.75" customHeight="1" x14ac:dyDescent="0.25">
      <c r="A4" s="2" t="s">
        <v>32</v>
      </c>
      <c r="B4" s="2">
        <v>2021</v>
      </c>
      <c r="C4" s="2" t="s">
        <v>33</v>
      </c>
      <c r="D4" s="2" t="s">
        <v>25</v>
      </c>
      <c r="E4" s="2" t="s">
        <v>126</v>
      </c>
      <c r="G4" s="2" t="s">
        <v>35</v>
      </c>
      <c r="J4" s="2" t="s">
        <v>29</v>
      </c>
      <c r="K4" s="4">
        <v>1033</v>
      </c>
      <c r="L4" s="4">
        <v>11060</v>
      </c>
      <c r="M4" s="4">
        <f>SUM(K4,L4)</f>
        <v>12093</v>
      </c>
      <c r="N4" s="4">
        <v>11834</v>
      </c>
      <c r="O4" s="2">
        <v>259</v>
      </c>
      <c r="P4" s="2"/>
      <c r="Q4" s="2"/>
      <c r="R4" s="2" t="s">
        <v>30</v>
      </c>
      <c r="S4" s="2">
        <v>1.1599999999999999</v>
      </c>
      <c r="T4" s="2">
        <v>0.75</v>
      </c>
      <c r="U4" s="2">
        <v>1.78</v>
      </c>
      <c r="V4" s="2" t="s">
        <v>39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spans="1:33" ht="15.75" customHeight="1" x14ac:dyDescent="0.25">
      <c r="A5" s="2" t="s">
        <v>23</v>
      </c>
      <c r="B5" s="2">
        <v>2018</v>
      </c>
      <c r="C5" s="2" t="s">
        <v>24</v>
      </c>
      <c r="D5" s="2" t="s">
        <v>25</v>
      </c>
      <c r="E5" s="2" t="s">
        <v>127</v>
      </c>
      <c r="F5" s="2" t="s">
        <v>27</v>
      </c>
      <c r="G5" s="2" t="s">
        <v>35</v>
      </c>
      <c r="H5" s="2" t="s">
        <v>27</v>
      </c>
      <c r="J5" s="2" t="s">
        <v>29</v>
      </c>
      <c r="K5" s="2">
        <v>198</v>
      </c>
      <c r="L5" s="2">
        <v>389</v>
      </c>
      <c r="M5" s="2">
        <v>437</v>
      </c>
      <c r="N5" s="2">
        <v>150</v>
      </c>
      <c r="O5" s="2">
        <v>587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spans="1:33" ht="15.75" customHeight="1" x14ac:dyDescent="0.25">
      <c r="A6" s="2" t="s">
        <v>51</v>
      </c>
      <c r="B6" s="2">
        <v>2015</v>
      </c>
      <c r="C6" s="2" t="s">
        <v>33</v>
      </c>
      <c r="D6" s="2" t="s">
        <v>52</v>
      </c>
      <c r="E6" s="2" t="s">
        <v>26</v>
      </c>
      <c r="F6" s="2" t="s">
        <v>128</v>
      </c>
      <c r="G6" s="2" t="s">
        <v>35</v>
      </c>
      <c r="H6" s="2" t="s">
        <v>54</v>
      </c>
      <c r="I6" s="2" t="s">
        <v>129</v>
      </c>
      <c r="J6" s="2" t="s">
        <v>56</v>
      </c>
      <c r="K6" s="4">
        <v>31027</v>
      </c>
      <c r="L6" s="4">
        <v>5452525</v>
      </c>
      <c r="M6" s="4">
        <v>34433</v>
      </c>
      <c r="N6" s="4">
        <v>5449119</v>
      </c>
      <c r="O6" s="4">
        <f>SUM(N6,M6)</f>
        <v>5483552</v>
      </c>
      <c r="P6" s="2" t="s">
        <v>57</v>
      </c>
      <c r="Q6" s="2" t="s">
        <v>62</v>
      </c>
      <c r="R6" s="2" t="s">
        <v>59</v>
      </c>
      <c r="S6" s="2">
        <v>0.65</v>
      </c>
      <c r="T6" s="2">
        <v>0.52</v>
      </c>
      <c r="U6" s="2">
        <v>0.81</v>
      </c>
      <c r="V6" s="2" t="s">
        <v>60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ht="15.75" customHeight="1" x14ac:dyDescent="0.25">
      <c r="A7" s="2" t="s">
        <v>82</v>
      </c>
      <c r="B7" s="2">
        <v>2019</v>
      </c>
      <c r="C7" s="2" t="s">
        <v>83</v>
      </c>
      <c r="D7" s="2" t="s">
        <v>76</v>
      </c>
      <c r="E7" s="2" t="s">
        <v>84</v>
      </c>
      <c r="F7" s="2" t="s">
        <v>85</v>
      </c>
      <c r="G7" s="2" t="s">
        <v>35</v>
      </c>
      <c r="H7" s="2" t="s">
        <v>86</v>
      </c>
      <c r="I7" s="2" t="s">
        <v>87</v>
      </c>
      <c r="J7" s="2" t="s">
        <v>130</v>
      </c>
      <c r="K7" s="2">
        <v>73</v>
      </c>
      <c r="L7" s="4">
        <v>999081</v>
      </c>
      <c r="M7" s="4">
        <v>45410</v>
      </c>
      <c r="N7" s="4">
        <v>953744</v>
      </c>
      <c r="O7" s="4">
        <v>999154</v>
      </c>
      <c r="P7" s="2" t="s">
        <v>88</v>
      </c>
      <c r="Q7" s="2" t="s">
        <v>89</v>
      </c>
      <c r="R7" s="2" t="s">
        <v>59</v>
      </c>
      <c r="S7" s="2">
        <v>3.52</v>
      </c>
      <c r="T7" s="2">
        <v>0.89</v>
      </c>
      <c r="U7" s="2">
        <v>13.8</v>
      </c>
      <c r="V7" s="2" t="s">
        <v>90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spans="1:33" ht="15.75" customHeight="1" x14ac:dyDescent="0.25">
      <c r="A8" s="2" t="s">
        <v>100</v>
      </c>
      <c r="B8" s="2">
        <v>2015</v>
      </c>
      <c r="C8" s="2" t="s">
        <v>41</v>
      </c>
      <c r="D8" s="2" t="s">
        <v>101</v>
      </c>
      <c r="E8" s="2" t="s">
        <v>102</v>
      </c>
      <c r="F8" s="2" t="s">
        <v>131</v>
      </c>
      <c r="G8" s="2" t="s">
        <v>35</v>
      </c>
      <c r="H8" s="2" t="s">
        <v>132</v>
      </c>
      <c r="J8" s="5" t="s">
        <v>105</v>
      </c>
      <c r="K8" s="4" t="s">
        <v>107</v>
      </c>
      <c r="L8" s="2" t="s">
        <v>108</v>
      </c>
      <c r="M8" s="4">
        <v>1899</v>
      </c>
      <c r="N8" s="4">
        <v>206031</v>
      </c>
      <c r="O8" s="4">
        <v>207930</v>
      </c>
      <c r="P8" s="2"/>
      <c r="Q8" s="2"/>
      <c r="R8" s="2" t="s">
        <v>30</v>
      </c>
      <c r="S8" s="2" t="s">
        <v>133</v>
      </c>
      <c r="T8" s="2" t="s">
        <v>134</v>
      </c>
      <c r="U8" s="2" t="s">
        <v>135</v>
      </c>
      <c r="V8" s="2" t="s">
        <v>136</v>
      </c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5.75" customHeight="1" x14ac:dyDescent="0.25">
      <c r="K9" s="2"/>
      <c r="L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spans="1:33" ht="15.75" customHeight="1" x14ac:dyDescent="0.25">
      <c r="K10" s="2"/>
      <c r="L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5.75" customHeight="1" x14ac:dyDescent="0.25">
      <c r="K11" s="2"/>
      <c r="L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spans="1:33" ht="15.75" customHeight="1" x14ac:dyDescent="0.25">
      <c r="K12" s="2"/>
      <c r="L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5.75" customHeight="1" x14ac:dyDescent="0.25">
      <c r="K13" s="2"/>
      <c r="L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3" ht="15.75" customHeight="1" x14ac:dyDescent="0.25">
      <c r="K14" s="2"/>
      <c r="L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5.75" customHeight="1" x14ac:dyDescent="0.25">
      <c r="K15" s="2"/>
      <c r="L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3" ht="15.75" customHeight="1" x14ac:dyDescent="0.25">
      <c r="K16" s="2"/>
      <c r="L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1:33" ht="15.75" customHeight="1" x14ac:dyDescent="0.25">
      <c r="K17" s="2"/>
      <c r="L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1:33" ht="15.75" customHeight="1" x14ac:dyDescent="0.25">
      <c r="K18" s="2"/>
      <c r="L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1:33" ht="15.75" customHeight="1" x14ac:dyDescent="0.25"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1:33" ht="15.75" customHeight="1" x14ac:dyDescent="0.25">
      <c r="K20" s="2"/>
      <c r="L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1:33" ht="12.5" x14ac:dyDescent="0.25">
      <c r="K21" s="2"/>
      <c r="L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1:33" ht="12.5" x14ac:dyDescent="0.25">
      <c r="K22" s="2"/>
      <c r="L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1:33" ht="12.5" x14ac:dyDescent="0.25">
      <c r="K23" s="2"/>
      <c r="L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1:33" ht="12.5" x14ac:dyDescent="0.25">
      <c r="K24" s="2"/>
      <c r="L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1:33" ht="12.5" x14ac:dyDescent="0.25">
      <c r="K25" s="2"/>
      <c r="L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1:33" ht="12.5" x14ac:dyDescent="0.25">
      <c r="K26" s="2"/>
      <c r="L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1:33" ht="12.5" x14ac:dyDescent="0.25">
      <c r="K27" s="2"/>
      <c r="L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1:33" ht="12.5" x14ac:dyDescent="0.25">
      <c r="K28" s="2"/>
      <c r="L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1:33" ht="12.5" x14ac:dyDescent="0.25">
      <c r="K29" s="2"/>
      <c r="L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1:33" ht="12.5" x14ac:dyDescent="0.25">
      <c r="K30" s="2"/>
      <c r="L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1:33" ht="12.5" x14ac:dyDescent="0.25">
      <c r="K31" s="2"/>
      <c r="L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1:33" ht="12.5" x14ac:dyDescent="0.25">
      <c r="K32" s="2"/>
      <c r="L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1:33" ht="12.5" x14ac:dyDescent="0.25">
      <c r="K33" s="2"/>
      <c r="L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1:33" ht="12.5" x14ac:dyDescent="0.25">
      <c r="K34" s="2"/>
      <c r="L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1:33" ht="12.5" x14ac:dyDescent="0.25">
      <c r="K35" s="2"/>
      <c r="L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1:33" ht="12.5" x14ac:dyDescent="0.25">
      <c r="K36" s="2"/>
      <c r="L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1:33" ht="12.5" x14ac:dyDescent="0.25">
      <c r="K37" s="2"/>
      <c r="L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1:33" ht="12.5" x14ac:dyDescent="0.25">
      <c r="K38" s="2"/>
      <c r="L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1:33" ht="12.5" x14ac:dyDescent="0.25">
      <c r="K39" s="2"/>
      <c r="L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1:33" ht="12.5" x14ac:dyDescent="0.25">
      <c r="K40" s="2"/>
      <c r="L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1:33" ht="12.5" x14ac:dyDescent="0.25">
      <c r="K41" s="2"/>
      <c r="L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1:33" ht="12.5" x14ac:dyDescent="0.25">
      <c r="K42" s="2"/>
      <c r="L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1:33" ht="12.5" x14ac:dyDescent="0.25">
      <c r="K43" s="2"/>
      <c r="L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1:33" ht="12.5" x14ac:dyDescent="0.25">
      <c r="K44" s="2"/>
      <c r="L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1:33" ht="12.5" x14ac:dyDescent="0.25">
      <c r="K45" s="2"/>
      <c r="L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1:33" ht="12.5" x14ac:dyDescent="0.25">
      <c r="K46" s="2"/>
      <c r="L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1:33" ht="12.5" x14ac:dyDescent="0.25">
      <c r="K47" s="2"/>
      <c r="L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1:33" ht="12.5" x14ac:dyDescent="0.25">
      <c r="K48" s="2"/>
      <c r="L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1:33" ht="12.5" x14ac:dyDescent="0.25">
      <c r="K49" s="2"/>
      <c r="L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1:33" ht="12.5" x14ac:dyDescent="0.25">
      <c r="K50" s="2"/>
      <c r="L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1:33" ht="12.5" x14ac:dyDescent="0.25">
      <c r="K51" s="2"/>
      <c r="L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1:33" ht="12.5" x14ac:dyDescent="0.25">
      <c r="K52" s="2"/>
      <c r="L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1:33" ht="12.5" x14ac:dyDescent="0.25">
      <c r="K53" s="2"/>
      <c r="L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1:33" ht="12.5" x14ac:dyDescent="0.25">
      <c r="K54" s="2"/>
      <c r="L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1:33" ht="12.5" x14ac:dyDescent="0.25">
      <c r="K55" s="2"/>
      <c r="L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1:33" ht="12.5" x14ac:dyDescent="0.25">
      <c r="K56" s="2"/>
      <c r="L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1:33" ht="12.5" x14ac:dyDescent="0.25">
      <c r="K57" s="2"/>
      <c r="L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1:33" ht="12.5" x14ac:dyDescent="0.25">
      <c r="K58" s="2"/>
      <c r="L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1:33" ht="12.5" x14ac:dyDescent="0.25">
      <c r="K59" s="2"/>
      <c r="L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1:33" ht="12.5" x14ac:dyDescent="0.25">
      <c r="K60" s="2"/>
      <c r="L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1:33" ht="12.5" x14ac:dyDescent="0.25">
      <c r="K61" s="2"/>
      <c r="L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1:33" ht="12.5" x14ac:dyDescent="0.25">
      <c r="K62" s="2"/>
      <c r="L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1:33" ht="12.5" x14ac:dyDescent="0.25">
      <c r="K63" s="2"/>
      <c r="L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1:33" ht="12.5" x14ac:dyDescent="0.25">
      <c r="K64" s="2"/>
      <c r="L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1:33" ht="12.5" x14ac:dyDescent="0.25">
      <c r="K65" s="2"/>
      <c r="L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1:33" ht="12.5" x14ac:dyDescent="0.25">
      <c r="K66" s="2"/>
      <c r="L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1:33" ht="12.5" x14ac:dyDescent="0.25">
      <c r="K67" s="2"/>
      <c r="L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1:33" ht="12.5" x14ac:dyDescent="0.25">
      <c r="K68" s="2"/>
      <c r="L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1:33" ht="12.5" x14ac:dyDescent="0.25">
      <c r="K69" s="2"/>
      <c r="L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1:33" ht="12.5" x14ac:dyDescent="0.25">
      <c r="K70" s="2"/>
      <c r="L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1:33" ht="12.5" x14ac:dyDescent="0.25">
      <c r="K71" s="2"/>
      <c r="L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1:33" ht="12.5" x14ac:dyDescent="0.25">
      <c r="K72" s="2"/>
      <c r="L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1:33" ht="12.5" x14ac:dyDescent="0.25">
      <c r="K73" s="2"/>
      <c r="L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1:33" ht="12.5" x14ac:dyDescent="0.25">
      <c r="K74" s="2"/>
      <c r="L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1:33" ht="12.5" x14ac:dyDescent="0.25">
      <c r="K75" s="2"/>
      <c r="L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1:33" ht="12.5" x14ac:dyDescent="0.25">
      <c r="K76" s="2"/>
      <c r="L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1:33" ht="12.5" x14ac:dyDescent="0.25">
      <c r="K77" s="2"/>
      <c r="L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1:33" ht="12.5" x14ac:dyDescent="0.25">
      <c r="K78" s="2"/>
      <c r="L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1:33" ht="12.5" x14ac:dyDescent="0.25">
      <c r="K79" s="2"/>
      <c r="L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1:33" ht="12.5" x14ac:dyDescent="0.25">
      <c r="K80" s="2"/>
      <c r="L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1:33" ht="12.5" x14ac:dyDescent="0.25">
      <c r="K81" s="2"/>
      <c r="L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1:33" ht="12.5" x14ac:dyDescent="0.25">
      <c r="K82" s="2"/>
      <c r="L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1:33" ht="12.5" x14ac:dyDescent="0.25">
      <c r="K83" s="2"/>
      <c r="L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1:33" ht="12.5" x14ac:dyDescent="0.25">
      <c r="K84" s="2"/>
      <c r="L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1:33" ht="12.5" x14ac:dyDescent="0.25">
      <c r="K85" s="2"/>
      <c r="L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1:33" ht="12.5" x14ac:dyDescent="0.25">
      <c r="K86" s="2"/>
      <c r="L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1:33" ht="12.5" x14ac:dyDescent="0.25">
      <c r="K87" s="2"/>
      <c r="L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1:33" ht="12.5" x14ac:dyDescent="0.25">
      <c r="K88" s="2"/>
      <c r="L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1:33" ht="12.5" x14ac:dyDescent="0.25">
      <c r="K89" s="2"/>
      <c r="L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1:33" ht="12.5" x14ac:dyDescent="0.25">
      <c r="K90" s="2"/>
      <c r="L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1:33" ht="12.5" x14ac:dyDescent="0.25">
      <c r="K91" s="2"/>
      <c r="L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1:33" ht="12.5" x14ac:dyDescent="0.25">
      <c r="K92" s="2"/>
      <c r="L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1:33" ht="12.5" x14ac:dyDescent="0.25">
      <c r="K93" s="2"/>
      <c r="L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1:33" ht="12.5" x14ac:dyDescent="0.25">
      <c r="K94" s="2"/>
      <c r="L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1:33" ht="12.5" x14ac:dyDescent="0.25">
      <c r="K95" s="2"/>
      <c r="L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1:33" ht="12.5" x14ac:dyDescent="0.25">
      <c r="K96" s="2"/>
      <c r="L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11:33" ht="12.5" x14ac:dyDescent="0.25">
      <c r="K97" s="2"/>
      <c r="L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11:33" ht="12.5" x14ac:dyDescent="0.25">
      <c r="K98" s="2"/>
      <c r="L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11:33" ht="12.5" x14ac:dyDescent="0.25">
      <c r="K99" s="2"/>
      <c r="L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11:33" ht="12.5" x14ac:dyDescent="0.25">
      <c r="K100" s="2"/>
      <c r="L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11:33" ht="12.5" x14ac:dyDescent="0.25">
      <c r="K101" s="2"/>
      <c r="L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11:33" ht="12.5" x14ac:dyDescent="0.25">
      <c r="K102" s="2"/>
      <c r="L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spans="11:33" ht="12.5" x14ac:dyDescent="0.25">
      <c r="K103" s="2"/>
      <c r="L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spans="11:33" ht="12.5" x14ac:dyDescent="0.25">
      <c r="K104" s="2"/>
      <c r="L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spans="11:33" ht="12.5" x14ac:dyDescent="0.25">
      <c r="K105" s="2"/>
      <c r="L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spans="11:33" ht="12.5" x14ac:dyDescent="0.25">
      <c r="K106" s="2"/>
      <c r="L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spans="11:33" ht="12.5" x14ac:dyDescent="0.25">
      <c r="K107" s="2"/>
      <c r="L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spans="11:33" ht="12.5" x14ac:dyDescent="0.25">
      <c r="K108" s="2"/>
      <c r="L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spans="11:33" ht="12.5" x14ac:dyDescent="0.25">
      <c r="K109" s="2"/>
      <c r="L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spans="11:33" ht="12.5" x14ac:dyDescent="0.25">
      <c r="K110" s="2"/>
      <c r="L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spans="11:33" ht="12.5" x14ac:dyDescent="0.25">
      <c r="K111" s="2"/>
      <c r="L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1:33" ht="12.5" x14ac:dyDescent="0.25">
      <c r="K112" s="2"/>
      <c r="L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spans="11:33" ht="12.5" x14ac:dyDescent="0.25">
      <c r="K113" s="2"/>
      <c r="L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spans="11:33" ht="12.5" x14ac:dyDescent="0.25">
      <c r="K114" s="2"/>
      <c r="L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spans="11:33" ht="12.5" x14ac:dyDescent="0.25">
      <c r="K115" s="2"/>
      <c r="L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spans="11:33" ht="12.5" x14ac:dyDescent="0.25">
      <c r="K116" s="2"/>
      <c r="L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spans="11:33" ht="12.5" x14ac:dyDescent="0.25">
      <c r="K117" s="2"/>
      <c r="L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spans="11:33" ht="12.5" x14ac:dyDescent="0.25">
      <c r="K118" s="2"/>
      <c r="L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spans="11:33" ht="12.5" x14ac:dyDescent="0.25">
      <c r="K119" s="2"/>
      <c r="L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spans="11:33" ht="12.5" x14ac:dyDescent="0.25">
      <c r="K120" s="2"/>
      <c r="L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spans="11:33" ht="12.5" x14ac:dyDescent="0.25">
      <c r="K121" s="2"/>
      <c r="L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spans="11:33" ht="12.5" x14ac:dyDescent="0.25">
      <c r="K122" s="2"/>
      <c r="L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spans="11:33" ht="12.5" x14ac:dyDescent="0.25">
      <c r="K123" s="2"/>
      <c r="L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spans="11:33" ht="12.5" x14ac:dyDescent="0.25">
      <c r="K124" s="2"/>
      <c r="L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spans="11:33" ht="12.5" x14ac:dyDescent="0.25">
      <c r="K125" s="2"/>
      <c r="L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spans="11:33" ht="12.5" x14ac:dyDescent="0.25">
      <c r="K126" s="2"/>
      <c r="L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spans="11:33" ht="12.5" x14ac:dyDescent="0.25">
      <c r="K127" s="2"/>
      <c r="L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spans="11:33" ht="12.5" x14ac:dyDescent="0.25">
      <c r="K128" s="2"/>
      <c r="L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spans="11:33" ht="12.5" x14ac:dyDescent="0.25">
      <c r="K129" s="2"/>
      <c r="L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spans="11:33" ht="12.5" x14ac:dyDescent="0.25">
      <c r="K130" s="2"/>
      <c r="L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spans="11:33" ht="12.5" x14ac:dyDescent="0.25">
      <c r="K131" s="2"/>
      <c r="L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spans="11:33" ht="12.5" x14ac:dyDescent="0.25">
      <c r="K132" s="2"/>
      <c r="L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spans="11:33" ht="12.5" x14ac:dyDescent="0.25">
      <c r="K133" s="2"/>
      <c r="L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spans="11:33" ht="12.5" x14ac:dyDescent="0.25">
      <c r="K134" s="2"/>
      <c r="L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spans="11:33" ht="12.5" x14ac:dyDescent="0.25">
      <c r="K135" s="2"/>
      <c r="L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spans="11:33" ht="12.5" x14ac:dyDescent="0.25">
      <c r="K136" s="2"/>
      <c r="L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spans="11:33" ht="12.5" x14ac:dyDescent="0.25">
      <c r="K137" s="2"/>
      <c r="L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spans="11:33" ht="12.5" x14ac:dyDescent="0.25">
      <c r="K138" s="2"/>
      <c r="L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spans="11:33" ht="12.5" x14ac:dyDescent="0.25">
      <c r="K139" s="2"/>
      <c r="L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spans="11:33" ht="12.5" x14ac:dyDescent="0.25">
      <c r="K140" s="2"/>
      <c r="L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spans="11:33" ht="12.5" x14ac:dyDescent="0.25">
      <c r="K141" s="2"/>
      <c r="L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spans="11:33" ht="12.5" x14ac:dyDescent="0.25">
      <c r="K142" s="2"/>
      <c r="L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spans="11:33" ht="12.5" x14ac:dyDescent="0.25">
      <c r="K143" s="2"/>
      <c r="L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spans="11:33" ht="12.5" x14ac:dyDescent="0.25">
      <c r="K144" s="2"/>
      <c r="L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spans="11:33" ht="12.5" x14ac:dyDescent="0.25">
      <c r="K145" s="2"/>
      <c r="L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spans="11:33" ht="12.5" x14ac:dyDescent="0.25">
      <c r="K146" s="2"/>
      <c r="L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spans="11:33" ht="12.5" x14ac:dyDescent="0.25">
      <c r="K147" s="2"/>
      <c r="L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spans="11:33" ht="12.5" x14ac:dyDescent="0.25">
      <c r="K148" s="2"/>
      <c r="L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spans="11:33" ht="12.5" x14ac:dyDescent="0.25">
      <c r="K149" s="2"/>
      <c r="L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spans="11:33" ht="12.5" x14ac:dyDescent="0.25">
      <c r="K150" s="2"/>
      <c r="L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spans="11:33" ht="12.5" x14ac:dyDescent="0.25">
      <c r="K151" s="2"/>
      <c r="L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spans="11:33" ht="12.5" x14ac:dyDescent="0.25">
      <c r="K152" s="2"/>
      <c r="L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spans="11:33" ht="12.5" x14ac:dyDescent="0.25">
      <c r="K153" s="2"/>
      <c r="L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spans="11:33" ht="12.5" x14ac:dyDescent="0.25">
      <c r="K154" s="2"/>
      <c r="L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spans="11:33" ht="12.5" x14ac:dyDescent="0.25">
      <c r="K155" s="2"/>
      <c r="L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spans="11:33" ht="12.5" x14ac:dyDescent="0.25">
      <c r="K156" s="2"/>
      <c r="L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spans="11:33" ht="12.5" x14ac:dyDescent="0.25">
      <c r="K157" s="2"/>
      <c r="L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spans="11:33" ht="12.5" x14ac:dyDescent="0.25">
      <c r="K158" s="2"/>
      <c r="L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spans="11:33" ht="12.5" x14ac:dyDescent="0.25">
      <c r="K159" s="2"/>
      <c r="L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spans="11:33" ht="12.5" x14ac:dyDescent="0.25">
      <c r="K160" s="2"/>
      <c r="L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spans="11:33" ht="12.5" x14ac:dyDescent="0.25">
      <c r="K161" s="2"/>
      <c r="L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spans="11:33" ht="12.5" x14ac:dyDescent="0.25">
      <c r="K162" s="2"/>
      <c r="L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spans="11:33" ht="12.5" x14ac:dyDescent="0.25">
      <c r="K163" s="2"/>
      <c r="L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spans="11:33" ht="12.5" x14ac:dyDescent="0.25">
      <c r="K164" s="2"/>
      <c r="L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spans="11:33" ht="12.5" x14ac:dyDescent="0.25">
      <c r="K165" s="2"/>
      <c r="L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spans="11:33" ht="12.5" x14ac:dyDescent="0.25">
      <c r="K166" s="2"/>
      <c r="L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spans="11:33" ht="12.5" x14ac:dyDescent="0.25">
      <c r="K167" s="2"/>
      <c r="L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spans="11:33" ht="12.5" x14ac:dyDescent="0.25">
      <c r="K168" s="2"/>
      <c r="L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spans="11:33" ht="12.5" x14ac:dyDescent="0.25">
      <c r="K169" s="2"/>
      <c r="L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spans="11:33" ht="12.5" x14ac:dyDescent="0.25">
      <c r="K170" s="2"/>
      <c r="L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spans="11:33" ht="12.5" x14ac:dyDescent="0.25">
      <c r="K171" s="2"/>
      <c r="L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spans="11:33" ht="12.5" x14ac:dyDescent="0.25">
      <c r="K172" s="2"/>
      <c r="L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spans="11:33" ht="12.5" x14ac:dyDescent="0.25">
      <c r="K173" s="2"/>
      <c r="L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spans="11:33" ht="12.5" x14ac:dyDescent="0.25">
      <c r="K174" s="2"/>
      <c r="L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spans="11:33" ht="12.5" x14ac:dyDescent="0.25">
      <c r="K175" s="2"/>
      <c r="L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spans="11:33" ht="12.5" x14ac:dyDescent="0.25">
      <c r="K176" s="2"/>
      <c r="L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spans="11:33" ht="12.5" x14ac:dyDescent="0.25">
      <c r="K177" s="2"/>
      <c r="L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spans="11:33" ht="12.5" x14ac:dyDescent="0.25">
      <c r="K178" s="2"/>
      <c r="L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spans="11:33" ht="12.5" x14ac:dyDescent="0.25">
      <c r="K179" s="2"/>
      <c r="L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spans="11:33" ht="12.5" x14ac:dyDescent="0.25">
      <c r="K180" s="2"/>
      <c r="L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spans="11:33" ht="12.5" x14ac:dyDescent="0.25">
      <c r="K181" s="2"/>
      <c r="L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spans="11:33" ht="12.5" x14ac:dyDescent="0.25">
      <c r="K182" s="2"/>
      <c r="L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spans="11:33" ht="12.5" x14ac:dyDescent="0.25">
      <c r="K183" s="2"/>
      <c r="L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spans="11:33" ht="12.5" x14ac:dyDescent="0.25">
      <c r="K184" s="2"/>
      <c r="L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spans="11:33" ht="12.5" x14ac:dyDescent="0.25">
      <c r="K185" s="2"/>
      <c r="L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spans="11:33" ht="12.5" x14ac:dyDescent="0.25">
      <c r="K186" s="2"/>
      <c r="L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spans="11:33" ht="12.5" x14ac:dyDescent="0.25">
      <c r="K187" s="2"/>
      <c r="L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spans="11:33" ht="12.5" x14ac:dyDescent="0.25">
      <c r="K188" s="2"/>
      <c r="L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spans="11:33" ht="12.5" x14ac:dyDescent="0.25">
      <c r="K189" s="2"/>
      <c r="L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spans="11:33" ht="12.5" x14ac:dyDescent="0.25">
      <c r="K190" s="2"/>
      <c r="L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spans="11:33" ht="12.5" x14ac:dyDescent="0.25">
      <c r="K191" s="2"/>
      <c r="L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spans="11:33" ht="12.5" x14ac:dyDescent="0.25">
      <c r="K192" s="2"/>
      <c r="L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spans="11:33" ht="12.5" x14ac:dyDescent="0.25">
      <c r="K193" s="2"/>
      <c r="L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spans="11:33" ht="12.5" x14ac:dyDescent="0.25">
      <c r="K194" s="2"/>
      <c r="L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spans="11:33" ht="12.5" x14ac:dyDescent="0.25">
      <c r="K195" s="2"/>
      <c r="L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spans="11:33" ht="12.5" x14ac:dyDescent="0.25">
      <c r="K196" s="2"/>
      <c r="L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spans="11:33" ht="12.5" x14ac:dyDescent="0.25">
      <c r="K197" s="2"/>
      <c r="L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spans="11:33" ht="12.5" x14ac:dyDescent="0.25">
      <c r="K198" s="2"/>
      <c r="L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spans="11:33" ht="12.5" x14ac:dyDescent="0.25">
      <c r="K199" s="2"/>
      <c r="L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spans="11:33" ht="12.5" x14ac:dyDescent="0.25">
      <c r="K200" s="2"/>
      <c r="L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spans="11:33" ht="12.5" x14ac:dyDescent="0.25">
      <c r="K201" s="2"/>
      <c r="L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spans="11:33" ht="12.5" x14ac:dyDescent="0.25">
      <c r="K202" s="2"/>
      <c r="L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1:33" ht="12.5" x14ac:dyDescent="0.25">
      <c r="K203" s="2"/>
      <c r="L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1:33" ht="12.5" x14ac:dyDescent="0.25">
      <c r="K204" s="2"/>
      <c r="L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1:33" ht="12.5" x14ac:dyDescent="0.25">
      <c r="K205" s="2"/>
      <c r="L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1:33" ht="12.5" x14ac:dyDescent="0.25">
      <c r="K206" s="2"/>
      <c r="L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1:33" ht="12.5" x14ac:dyDescent="0.25">
      <c r="K207" s="2"/>
      <c r="L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1:33" ht="12.5" x14ac:dyDescent="0.25">
      <c r="K208" s="2"/>
      <c r="L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1:33" ht="12.5" x14ac:dyDescent="0.25">
      <c r="K209" s="2"/>
      <c r="L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1:33" ht="12.5" x14ac:dyDescent="0.25">
      <c r="K210" s="2"/>
      <c r="L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1:33" ht="12.5" x14ac:dyDescent="0.25">
      <c r="K211" s="2"/>
      <c r="L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1:33" ht="12.5" x14ac:dyDescent="0.25">
      <c r="K212" s="2"/>
      <c r="L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1:33" ht="12.5" x14ac:dyDescent="0.25">
      <c r="K213" s="2"/>
      <c r="L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1:33" ht="12.5" x14ac:dyDescent="0.25">
      <c r="K214" s="2"/>
      <c r="L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1:33" ht="12.5" x14ac:dyDescent="0.25">
      <c r="K215" s="2"/>
      <c r="L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1:33" ht="12.5" x14ac:dyDescent="0.25">
      <c r="K216" s="2"/>
      <c r="L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1:33" ht="12.5" x14ac:dyDescent="0.25">
      <c r="K217" s="2"/>
      <c r="L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1:33" ht="12.5" x14ac:dyDescent="0.25">
      <c r="K218" s="2"/>
      <c r="L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1:33" ht="12.5" x14ac:dyDescent="0.25">
      <c r="K219" s="2"/>
      <c r="L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1:33" ht="12.5" x14ac:dyDescent="0.25">
      <c r="K220" s="2"/>
      <c r="L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1:33" ht="12.5" x14ac:dyDescent="0.25">
      <c r="K221" s="2"/>
      <c r="L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1:33" ht="12.5" x14ac:dyDescent="0.25">
      <c r="K222" s="2"/>
      <c r="L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1:33" ht="12.5" x14ac:dyDescent="0.25">
      <c r="K223" s="2"/>
      <c r="L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1:33" ht="12.5" x14ac:dyDescent="0.25">
      <c r="K224" s="2"/>
      <c r="L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1:33" ht="12.5" x14ac:dyDescent="0.25">
      <c r="K225" s="2"/>
      <c r="L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1:33" ht="12.5" x14ac:dyDescent="0.25">
      <c r="K226" s="2"/>
      <c r="L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1:33" ht="12.5" x14ac:dyDescent="0.25">
      <c r="K227" s="2"/>
      <c r="L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1:33" ht="12.5" x14ac:dyDescent="0.25">
      <c r="K228" s="2"/>
      <c r="L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1:33" ht="12.5" x14ac:dyDescent="0.25">
      <c r="K229" s="2"/>
      <c r="L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1:33" ht="12.5" x14ac:dyDescent="0.25">
      <c r="K230" s="2"/>
      <c r="L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1:33" ht="12.5" x14ac:dyDescent="0.25">
      <c r="K231" s="2"/>
      <c r="L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1:33" ht="12.5" x14ac:dyDescent="0.25">
      <c r="K232" s="2"/>
      <c r="L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1:33" ht="12.5" x14ac:dyDescent="0.25">
      <c r="K233" s="2"/>
      <c r="L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1:33" ht="12.5" x14ac:dyDescent="0.25">
      <c r="K234" s="2"/>
      <c r="L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1:33" ht="12.5" x14ac:dyDescent="0.25">
      <c r="K235" s="2"/>
      <c r="L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1:33" ht="12.5" x14ac:dyDescent="0.25">
      <c r="K236" s="2"/>
      <c r="L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1:33" ht="12.5" x14ac:dyDescent="0.25">
      <c r="K237" s="2"/>
      <c r="L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1:33" ht="12.5" x14ac:dyDescent="0.25">
      <c r="K238" s="2"/>
      <c r="L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1:33" ht="12.5" x14ac:dyDescent="0.25">
      <c r="K239" s="2"/>
      <c r="L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1:33" ht="12.5" x14ac:dyDescent="0.25">
      <c r="K240" s="2"/>
      <c r="L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1:33" ht="12.5" x14ac:dyDescent="0.25">
      <c r="K241" s="2"/>
      <c r="L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1:33" ht="12.5" x14ac:dyDescent="0.25">
      <c r="K242" s="2"/>
      <c r="L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1:33" ht="12.5" x14ac:dyDescent="0.25">
      <c r="K243" s="2"/>
      <c r="L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1:33" ht="12.5" x14ac:dyDescent="0.25">
      <c r="K244" s="2"/>
      <c r="L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1:33" ht="12.5" x14ac:dyDescent="0.25">
      <c r="K245" s="2"/>
      <c r="L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1:33" ht="12.5" x14ac:dyDescent="0.25">
      <c r="K246" s="2"/>
      <c r="L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1:33" ht="12.5" x14ac:dyDescent="0.25">
      <c r="K247" s="2"/>
      <c r="L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1:33" ht="12.5" x14ac:dyDescent="0.25">
      <c r="K248" s="2"/>
      <c r="L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1:33" ht="12.5" x14ac:dyDescent="0.25">
      <c r="K249" s="2"/>
      <c r="L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1:33" ht="12.5" x14ac:dyDescent="0.25">
      <c r="K250" s="2"/>
      <c r="L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1:33" ht="12.5" x14ac:dyDescent="0.25">
      <c r="K251" s="2"/>
      <c r="L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1:33" ht="12.5" x14ac:dyDescent="0.25">
      <c r="K252" s="2"/>
      <c r="L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1:33" ht="12.5" x14ac:dyDescent="0.25">
      <c r="K253" s="2"/>
      <c r="L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1:33" ht="12.5" x14ac:dyDescent="0.25">
      <c r="K254" s="2"/>
      <c r="L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1:33" ht="12.5" x14ac:dyDescent="0.25">
      <c r="K255" s="2"/>
      <c r="L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1:33" ht="12.5" x14ac:dyDescent="0.25">
      <c r="K256" s="2"/>
      <c r="L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1:33" ht="12.5" x14ac:dyDescent="0.25">
      <c r="K257" s="2"/>
      <c r="L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1:33" ht="12.5" x14ac:dyDescent="0.25">
      <c r="K258" s="2"/>
      <c r="L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1:33" ht="12.5" x14ac:dyDescent="0.25">
      <c r="K259" s="2"/>
      <c r="L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1:33" ht="12.5" x14ac:dyDescent="0.25">
      <c r="K260" s="2"/>
      <c r="L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1:33" ht="12.5" x14ac:dyDescent="0.25">
      <c r="K261" s="2"/>
      <c r="L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1:33" ht="12.5" x14ac:dyDescent="0.25">
      <c r="K262" s="2"/>
      <c r="L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1:33" ht="12.5" x14ac:dyDescent="0.25">
      <c r="K263" s="2"/>
      <c r="L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1:33" ht="12.5" x14ac:dyDescent="0.25">
      <c r="K264" s="2"/>
      <c r="L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1:33" ht="12.5" x14ac:dyDescent="0.25">
      <c r="K265" s="2"/>
      <c r="L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1:33" ht="12.5" x14ac:dyDescent="0.25">
      <c r="K266" s="2"/>
      <c r="L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1:33" ht="12.5" x14ac:dyDescent="0.25">
      <c r="K267" s="2"/>
      <c r="L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1:33" ht="12.5" x14ac:dyDescent="0.25">
      <c r="K268" s="2"/>
      <c r="L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1:33" ht="12.5" x14ac:dyDescent="0.25">
      <c r="K269" s="2"/>
      <c r="L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1:33" ht="12.5" x14ac:dyDescent="0.25">
      <c r="K270" s="2"/>
      <c r="L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1:33" ht="12.5" x14ac:dyDescent="0.25">
      <c r="K271" s="2"/>
      <c r="L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1:33" ht="12.5" x14ac:dyDescent="0.25">
      <c r="K272" s="2"/>
      <c r="L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1:33" ht="12.5" x14ac:dyDescent="0.25">
      <c r="K273" s="2"/>
      <c r="L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spans="11:33" ht="12.5" x14ac:dyDescent="0.25">
      <c r="K274" s="2"/>
      <c r="L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spans="11:33" ht="12.5" x14ac:dyDescent="0.25">
      <c r="K275" s="2"/>
      <c r="L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spans="11:33" ht="12.5" x14ac:dyDescent="0.25">
      <c r="K276" s="2"/>
      <c r="L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spans="11:33" ht="12.5" x14ac:dyDescent="0.25">
      <c r="K277" s="2"/>
      <c r="L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spans="11:33" ht="12.5" x14ac:dyDescent="0.25">
      <c r="K278" s="2"/>
      <c r="L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spans="11:33" ht="12.5" x14ac:dyDescent="0.25">
      <c r="K279" s="2"/>
      <c r="L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spans="11:33" ht="12.5" x14ac:dyDescent="0.25">
      <c r="K280" s="2"/>
      <c r="L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spans="11:33" ht="12.5" x14ac:dyDescent="0.25">
      <c r="K281" s="2"/>
      <c r="L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spans="11:33" ht="12.5" x14ac:dyDescent="0.25">
      <c r="K282" s="2"/>
      <c r="L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spans="11:33" ht="12.5" x14ac:dyDescent="0.25">
      <c r="K283" s="2"/>
      <c r="L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spans="11:33" ht="12.5" x14ac:dyDescent="0.25">
      <c r="K284" s="2"/>
      <c r="L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spans="11:33" ht="12.5" x14ac:dyDescent="0.25">
      <c r="K285" s="2"/>
      <c r="L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spans="11:33" ht="12.5" x14ac:dyDescent="0.25">
      <c r="K286" s="2"/>
      <c r="L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spans="11:33" ht="12.5" x14ac:dyDescent="0.25">
      <c r="K287" s="2"/>
      <c r="L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spans="11:33" ht="12.5" x14ac:dyDescent="0.25">
      <c r="K288" s="2"/>
      <c r="L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spans="11:33" ht="12.5" x14ac:dyDescent="0.25">
      <c r="K289" s="2"/>
      <c r="L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spans="11:33" ht="12.5" x14ac:dyDescent="0.25">
      <c r="K290" s="2"/>
      <c r="L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spans="11:33" ht="12.5" x14ac:dyDescent="0.25">
      <c r="K291" s="2"/>
      <c r="L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spans="11:33" ht="12.5" x14ac:dyDescent="0.25">
      <c r="K292" s="2"/>
      <c r="L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spans="11:33" ht="12.5" x14ac:dyDescent="0.25">
      <c r="K293" s="2"/>
      <c r="L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spans="11:33" ht="12.5" x14ac:dyDescent="0.25">
      <c r="K294" s="2"/>
      <c r="L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spans="11:33" ht="12.5" x14ac:dyDescent="0.25">
      <c r="K295" s="2"/>
      <c r="L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spans="11:33" ht="12.5" x14ac:dyDescent="0.25">
      <c r="K296" s="2"/>
      <c r="L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spans="11:33" ht="12.5" x14ac:dyDescent="0.25">
      <c r="K297" s="2"/>
      <c r="L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spans="11:33" ht="12.5" x14ac:dyDescent="0.25">
      <c r="K298" s="2"/>
      <c r="L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spans="11:33" ht="12.5" x14ac:dyDescent="0.25">
      <c r="K299" s="2"/>
      <c r="L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spans="11:33" ht="12.5" x14ac:dyDescent="0.25">
      <c r="K300" s="2"/>
      <c r="L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spans="11:33" ht="12.5" x14ac:dyDescent="0.25">
      <c r="K301" s="2"/>
      <c r="L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spans="11:33" ht="12.5" x14ac:dyDescent="0.25">
      <c r="K302" s="2"/>
      <c r="L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spans="11:33" ht="12.5" x14ac:dyDescent="0.25">
      <c r="K303" s="2"/>
      <c r="L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spans="11:33" ht="12.5" x14ac:dyDescent="0.25">
      <c r="K304" s="2"/>
      <c r="L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spans="11:33" ht="12.5" x14ac:dyDescent="0.25">
      <c r="K305" s="2"/>
      <c r="L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spans="11:33" ht="12.5" x14ac:dyDescent="0.25">
      <c r="K306" s="2"/>
      <c r="L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spans="11:33" ht="12.5" x14ac:dyDescent="0.25">
      <c r="K307" s="2"/>
      <c r="L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spans="11:33" ht="12.5" x14ac:dyDescent="0.25">
      <c r="K308" s="2"/>
      <c r="L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spans="11:33" ht="12.5" x14ac:dyDescent="0.25">
      <c r="K309" s="2"/>
      <c r="L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spans="11:33" ht="12.5" x14ac:dyDescent="0.25">
      <c r="K310" s="2"/>
      <c r="L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spans="11:33" ht="12.5" x14ac:dyDescent="0.25">
      <c r="K311" s="2"/>
      <c r="L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spans="11:33" ht="12.5" x14ac:dyDescent="0.25">
      <c r="K312" s="2"/>
      <c r="L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spans="11:33" ht="12.5" x14ac:dyDescent="0.25">
      <c r="K313" s="2"/>
      <c r="L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spans="11:33" ht="12.5" x14ac:dyDescent="0.25">
      <c r="K314" s="2"/>
      <c r="L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spans="11:33" ht="12.5" x14ac:dyDescent="0.25">
      <c r="K315" s="2"/>
      <c r="L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spans="11:33" ht="12.5" x14ac:dyDescent="0.25">
      <c r="K316" s="2"/>
      <c r="L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spans="11:33" ht="12.5" x14ac:dyDescent="0.25">
      <c r="K317" s="2"/>
      <c r="L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spans="11:33" ht="12.5" x14ac:dyDescent="0.25">
      <c r="K318" s="2"/>
      <c r="L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spans="11:33" ht="12.5" x14ac:dyDescent="0.25">
      <c r="K319" s="2"/>
      <c r="L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spans="11:33" ht="12.5" x14ac:dyDescent="0.25">
      <c r="K320" s="2"/>
      <c r="L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 spans="11:33" ht="12.5" x14ac:dyDescent="0.25">
      <c r="K321" s="2"/>
      <c r="L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 spans="11:33" ht="12.5" x14ac:dyDescent="0.25">
      <c r="K322" s="2"/>
      <c r="L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 spans="11:33" ht="12.5" x14ac:dyDescent="0.25">
      <c r="K323" s="2"/>
      <c r="L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 spans="11:33" ht="12.5" x14ac:dyDescent="0.25">
      <c r="K324" s="2"/>
      <c r="L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 spans="11:33" ht="12.5" x14ac:dyDescent="0.25">
      <c r="K325" s="2"/>
      <c r="L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 spans="11:33" ht="12.5" x14ac:dyDescent="0.25">
      <c r="K326" s="2"/>
      <c r="L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 spans="11:33" ht="12.5" x14ac:dyDescent="0.25">
      <c r="K327" s="2"/>
      <c r="L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 spans="11:33" ht="12.5" x14ac:dyDescent="0.25">
      <c r="K328" s="2"/>
      <c r="L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 spans="11:33" ht="12.5" x14ac:dyDescent="0.25">
      <c r="K329" s="2"/>
      <c r="L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 spans="11:33" ht="12.5" x14ac:dyDescent="0.25">
      <c r="K330" s="2"/>
      <c r="L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 spans="11:33" ht="12.5" x14ac:dyDescent="0.25">
      <c r="K331" s="2"/>
      <c r="L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 spans="11:33" ht="12.5" x14ac:dyDescent="0.25">
      <c r="K332" s="2"/>
      <c r="L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 spans="11:33" ht="12.5" x14ac:dyDescent="0.25">
      <c r="K333" s="2"/>
      <c r="L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 spans="11:33" ht="12.5" x14ac:dyDescent="0.25">
      <c r="K334" s="2"/>
      <c r="L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 spans="11:33" ht="12.5" x14ac:dyDescent="0.25">
      <c r="K335" s="2"/>
      <c r="L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 spans="11:33" ht="12.5" x14ac:dyDescent="0.25">
      <c r="K336" s="2"/>
      <c r="L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 spans="11:33" ht="12.5" x14ac:dyDescent="0.25">
      <c r="K337" s="2"/>
      <c r="L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 spans="11:33" ht="12.5" x14ac:dyDescent="0.25">
      <c r="K338" s="2"/>
      <c r="L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 spans="11:33" ht="12.5" x14ac:dyDescent="0.25">
      <c r="K339" s="2"/>
      <c r="L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 spans="11:33" ht="12.5" x14ac:dyDescent="0.25">
      <c r="K340" s="2"/>
      <c r="L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 spans="11:33" ht="12.5" x14ac:dyDescent="0.25">
      <c r="K341" s="2"/>
      <c r="L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 spans="11:33" ht="12.5" x14ac:dyDescent="0.25">
      <c r="K342" s="2"/>
      <c r="L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 spans="11:33" ht="12.5" x14ac:dyDescent="0.25">
      <c r="K343" s="2"/>
      <c r="L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 spans="11:33" ht="12.5" x14ac:dyDescent="0.25">
      <c r="K344" s="2"/>
      <c r="L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 spans="11:33" ht="12.5" x14ac:dyDescent="0.25">
      <c r="K345" s="2"/>
      <c r="L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 spans="11:33" ht="12.5" x14ac:dyDescent="0.25">
      <c r="K346" s="2"/>
      <c r="L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spans="11:33" ht="12.5" x14ac:dyDescent="0.25">
      <c r="K347" s="2"/>
      <c r="L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 spans="11:33" ht="12.5" x14ac:dyDescent="0.25">
      <c r="K348" s="2"/>
      <c r="L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 spans="11:33" ht="12.5" x14ac:dyDescent="0.25">
      <c r="K349" s="2"/>
      <c r="L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 spans="11:33" ht="12.5" x14ac:dyDescent="0.25">
      <c r="K350" s="2"/>
      <c r="L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 spans="11:33" ht="12.5" x14ac:dyDescent="0.25">
      <c r="K351" s="2"/>
      <c r="L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 spans="11:33" ht="12.5" x14ac:dyDescent="0.25">
      <c r="K352" s="2"/>
      <c r="L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 spans="11:33" ht="12.5" x14ac:dyDescent="0.25">
      <c r="K353" s="2"/>
      <c r="L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 spans="11:33" ht="12.5" x14ac:dyDescent="0.25">
      <c r="K354" s="2"/>
      <c r="L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 spans="11:33" ht="12.5" x14ac:dyDescent="0.25">
      <c r="K355" s="2"/>
      <c r="L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 spans="11:33" ht="12.5" x14ac:dyDescent="0.25">
      <c r="K356" s="2"/>
      <c r="L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 spans="11:33" ht="12.5" x14ac:dyDescent="0.25">
      <c r="K357" s="2"/>
      <c r="L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 spans="11:33" ht="12.5" x14ac:dyDescent="0.25">
      <c r="K358" s="2"/>
      <c r="L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 spans="11:33" ht="12.5" x14ac:dyDescent="0.25">
      <c r="K359" s="2"/>
      <c r="L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 spans="11:33" ht="12.5" x14ac:dyDescent="0.25">
      <c r="K360" s="2"/>
      <c r="L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 spans="11:33" ht="12.5" x14ac:dyDescent="0.25">
      <c r="K361" s="2"/>
      <c r="L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 spans="11:33" ht="12.5" x14ac:dyDescent="0.25">
      <c r="K362" s="2"/>
      <c r="L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 spans="11:33" ht="12.5" x14ac:dyDescent="0.25">
      <c r="K363" s="2"/>
      <c r="L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 spans="11:33" ht="12.5" x14ac:dyDescent="0.25">
      <c r="K364" s="2"/>
      <c r="L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 spans="11:33" ht="12.5" x14ac:dyDescent="0.25">
      <c r="K365" s="2"/>
      <c r="L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 spans="11:33" ht="12.5" x14ac:dyDescent="0.25">
      <c r="K366" s="2"/>
      <c r="L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 spans="11:33" ht="12.5" x14ac:dyDescent="0.25">
      <c r="K367" s="2"/>
      <c r="L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 spans="11:33" ht="12.5" x14ac:dyDescent="0.25">
      <c r="K368" s="2"/>
      <c r="L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 spans="11:33" ht="12.5" x14ac:dyDescent="0.25">
      <c r="K369" s="2"/>
      <c r="L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 spans="11:33" ht="12.5" x14ac:dyDescent="0.25">
      <c r="K370" s="2"/>
      <c r="L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 spans="11:33" ht="12.5" x14ac:dyDescent="0.25">
      <c r="K371" s="2"/>
      <c r="L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 spans="11:33" ht="12.5" x14ac:dyDescent="0.25">
      <c r="K372" s="2"/>
      <c r="L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 spans="11:33" ht="12.5" x14ac:dyDescent="0.25">
      <c r="K373" s="2"/>
      <c r="L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 spans="11:33" ht="12.5" x14ac:dyDescent="0.25">
      <c r="K374" s="2"/>
      <c r="L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 spans="11:33" ht="12.5" x14ac:dyDescent="0.25">
      <c r="K375" s="2"/>
      <c r="L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 spans="11:33" ht="12.5" x14ac:dyDescent="0.25">
      <c r="K376" s="2"/>
      <c r="L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 spans="11:33" ht="12.5" x14ac:dyDescent="0.25">
      <c r="K377" s="2"/>
      <c r="L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 spans="11:33" ht="12.5" x14ac:dyDescent="0.25">
      <c r="K378" s="2"/>
      <c r="L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 spans="11:33" ht="12.5" x14ac:dyDescent="0.25">
      <c r="K379" s="2"/>
      <c r="L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 spans="11:33" ht="12.5" x14ac:dyDescent="0.25">
      <c r="K380" s="2"/>
      <c r="L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 spans="11:33" ht="12.5" x14ac:dyDescent="0.25">
      <c r="K381" s="2"/>
      <c r="L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 spans="11:33" ht="12.5" x14ac:dyDescent="0.25">
      <c r="K382" s="2"/>
      <c r="L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 spans="11:33" ht="12.5" x14ac:dyDescent="0.25">
      <c r="K383" s="2"/>
      <c r="L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 spans="11:33" ht="12.5" x14ac:dyDescent="0.25">
      <c r="K384" s="2"/>
      <c r="L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 spans="11:33" ht="12.5" x14ac:dyDescent="0.25">
      <c r="K385" s="2"/>
      <c r="L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 spans="11:33" ht="12.5" x14ac:dyDescent="0.25">
      <c r="K386" s="2"/>
      <c r="L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 spans="11:33" ht="12.5" x14ac:dyDescent="0.25">
      <c r="K387" s="2"/>
      <c r="L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 spans="11:33" ht="12.5" x14ac:dyDescent="0.25">
      <c r="K388" s="2"/>
      <c r="L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 spans="11:33" ht="12.5" x14ac:dyDescent="0.25">
      <c r="K389" s="2"/>
      <c r="L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 spans="11:33" ht="12.5" x14ac:dyDescent="0.25">
      <c r="K390" s="2"/>
      <c r="L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 spans="11:33" ht="12.5" x14ac:dyDescent="0.25">
      <c r="K391" s="2"/>
      <c r="L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 spans="11:33" ht="12.5" x14ac:dyDescent="0.25">
      <c r="K392" s="2"/>
      <c r="L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 spans="11:33" ht="12.5" x14ac:dyDescent="0.25">
      <c r="K393" s="2"/>
      <c r="L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 spans="11:33" ht="12.5" x14ac:dyDescent="0.25">
      <c r="K394" s="2"/>
      <c r="L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 spans="11:33" ht="12.5" x14ac:dyDescent="0.25">
      <c r="K395" s="2"/>
      <c r="L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 spans="11:33" ht="12.5" x14ac:dyDescent="0.25">
      <c r="K396" s="2"/>
      <c r="L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 spans="11:33" ht="12.5" x14ac:dyDescent="0.25">
      <c r="K397" s="2"/>
      <c r="L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 spans="11:33" ht="12.5" x14ac:dyDescent="0.25">
      <c r="K398" s="2"/>
      <c r="L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 spans="11:33" ht="12.5" x14ac:dyDescent="0.25">
      <c r="K399" s="2"/>
      <c r="L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 spans="11:33" ht="12.5" x14ac:dyDescent="0.25">
      <c r="K400" s="2"/>
      <c r="L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 spans="11:33" ht="12.5" x14ac:dyDescent="0.25">
      <c r="K401" s="2"/>
      <c r="L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 spans="11:33" ht="12.5" x14ac:dyDescent="0.25">
      <c r="K402" s="2"/>
      <c r="L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 spans="11:33" ht="12.5" x14ac:dyDescent="0.25">
      <c r="K403" s="2"/>
      <c r="L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 spans="11:33" ht="12.5" x14ac:dyDescent="0.25">
      <c r="K404" s="2"/>
      <c r="L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 spans="11:33" ht="12.5" x14ac:dyDescent="0.25">
      <c r="K405" s="2"/>
      <c r="L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 spans="11:33" ht="12.5" x14ac:dyDescent="0.25">
      <c r="K406" s="2"/>
      <c r="L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 spans="11:33" ht="12.5" x14ac:dyDescent="0.25">
      <c r="K407" s="2"/>
      <c r="L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 spans="11:33" ht="12.5" x14ac:dyDescent="0.25">
      <c r="K408" s="2"/>
      <c r="L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 spans="11:33" ht="12.5" x14ac:dyDescent="0.25">
      <c r="K409" s="2"/>
      <c r="L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 spans="11:33" ht="12.5" x14ac:dyDescent="0.25">
      <c r="K410" s="2"/>
      <c r="L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 spans="11:33" ht="12.5" x14ac:dyDescent="0.25">
      <c r="K411" s="2"/>
      <c r="L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 spans="11:33" ht="12.5" x14ac:dyDescent="0.25">
      <c r="K412" s="2"/>
      <c r="L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 spans="11:33" ht="12.5" x14ac:dyDescent="0.25">
      <c r="K413" s="2"/>
      <c r="L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 spans="11:33" ht="12.5" x14ac:dyDescent="0.25">
      <c r="K414" s="2"/>
      <c r="L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 spans="11:33" ht="12.5" x14ac:dyDescent="0.25">
      <c r="K415" s="2"/>
      <c r="L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 spans="11:33" ht="12.5" x14ac:dyDescent="0.25">
      <c r="K416" s="2"/>
      <c r="L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 spans="11:33" ht="12.5" x14ac:dyDescent="0.25">
      <c r="K417" s="2"/>
      <c r="L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 spans="11:33" ht="12.5" x14ac:dyDescent="0.25">
      <c r="K418" s="2"/>
      <c r="L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 spans="11:33" ht="12.5" x14ac:dyDescent="0.25">
      <c r="K419" s="2"/>
      <c r="L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 spans="11:33" ht="12.5" x14ac:dyDescent="0.25">
      <c r="K420" s="2"/>
      <c r="L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 spans="11:33" ht="12.5" x14ac:dyDescent="0.25">
      <c r="K421" s="2"/>
      <c r="L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 spans="11:33" ht="12.5" x14ac:dyDescent="0.25">
      <c r="K422" s="2"/>
      <c r="L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 spans="11:33" ht="12.5" x14ac:dyDescent="0.25">
      <c r="K423" s="2"/>
      <c r="L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 spans="11:33" ht="12.5" x14ac:dyDescent="0.25">
      <c r="K424" s="2"/>
      <c r="L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 spans="11:33" ht="12.5" x14ac:dyDescent="0.25">
      <c r="K425" s="2"/>
      <c r="L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 spans="11:33" ht="12.5" x14ac:dyDescent="0.25">
      <c r="K426" s="2"/>
      <c r="L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 spans="11:33" ht="12.5" x14ac:dyDescent="0.25">
      <c r="K427" s="2"/>
      <c r="L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 spans="11:33" ht="12.5" x14ac:dyDescent="0.25">
      <c r="K428" s="2"/>
      <c r="L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 spans="11:33" ht="12.5" x14ac:dyDescent="0.25">
      <c r="K429" s="2"/>
      <c r="L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 spans="11:33" ht="12.5" x14ac:dyDescent="0.25">
      <c r="K430" s="2"/>
      <c r="L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1:33" ht="12.5" x14ac:dyDescent="0.25">
      <c r="K431" s="2"/>
      <c r="L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 spans="11:33" ht="12.5" x14ac:dyDescent="0.25">
      <c r="K432" s="2"/>
      <c r="L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 spans="11:33" ht="12.5" x14ac:dyDescent="0.25">
      <c r="K433" s="2"/>
      <c r="L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 spans="11:33" ht="12.5" x14ac:dyDescent="0.25">
      <c r="K434" s="2"/>
      <c r="L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 spans="11:33" ht="12.5" x14ac:dyDescent="0.25">
      <c r="K435" s="2"/>
      <c r="L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 spans="11:33" ht="12.5" x14ac:dyDescent="0.25">
      <c r="K436" s="2"/>
      <c r="L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 spans="11:33" ht="12.5" x14ac:dyDescent="0.25">
      <c r="K437" s="2"/>
      <c r="L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 spans="11:33" ht="12.5" x14ac:dyDescent="0.25">
      <c r="K438" s="2"/>
      <c r="L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 spans="11:33" ht="12.5" x14ac:dyDescent="0.25">
      <c r="K439" s="2"/>
      <c r="L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 spans="11:33" ht="12.5" x14ac:dyDescent="0.25">
      <c r="K440" s="2"/>
      <c r="L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 spans="11:33" ht="12.5" x14ac:dyDescent="0.25">
      <c r="K441" s="2"/>
      <c r="L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 spans="11:33" ht="12.5" x14ac:dyDescent="0.25">
      <c r="K442" s="2"/>
      <c r="L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 spans="11:33" ht="12.5" x14ac:dyDescent="0.25">
      <c r="K443" s="2"/>
      <c r="L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 spans="11:33" ht="12.5" x14ac:dyDescent="0.25">
      <c r="K444" s="2"/>
      <c r="L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 spans="11:33" ht="12.5" x14ac:dyDescent="0.25">
      <c r="K445" s="2"/>
      <c r="L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 spans="11:33" ht="12.5" x14ac:dyDescent="0.25">
      <c r="K446" s="2"/>
      <c r="L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 spans="11:33" ht="12.5" x14ac:dyDescent="0.25">
      <c r="K447" s="2"/>
      <c r="L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 spans="11:33" ht="12.5" x14ac:dyDescent="0.25">
      <c r="K448" s="2"/>
      <c r="L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 spans="11:33" ht="12.5" x14ac:dyDescent="0.25">
      <c r="K449" s="2"/>
      <c r="L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 spans="11:33" ht="12.5" x14ac:dyDescent="0.25">
      <c r="K450" s="2"/>
      <c r="L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 spans="11:33" ht="12.5" x14ac:dyDescent="0.25">
      <c r="K451" s="2"/>
      <c r="L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 spans="11:33" ht="12.5" x14ac:dyDescent="0.25">
      <c r="K452" s="2"/>
      <c r="L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 spans="11:33" ht="12.5" x14ac:dyDescent="0.25">
      <c r="K453" s="2"/>
      <c r="L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 spans="11:33" ht="12.5" x14ac:dyDescent="0.25">
      <c r="K454" s="2"/>
      <c r="L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 spans="11:33" ht="12.5" x14ac:dyDescent="0.25">
      <c r="K455" s="2"/>
      <c r="L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1:33" ht="12.5" x14ac:dyDescent="0.25">
      <c r="K456" s="2"/>
      <c r="L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 spans="11:33" ht="12.5" x14ac:dyDescent="0.25">
      <c r="K457" s="2"/>
      <c r="L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 spans="11:33" ht="12.5" x14ac:dyDescent="0.25">
      <c r="K458" s="2"/>
      <c r="L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 spans="11:33" ht="12.5" x14ac:dyDescent="0.25">
      <c r="K459" s="2"/>
      <c r="L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 spans="11:33" ht="12.5" x14ac:dyDescent="0.25">
      <c r="K460" s="2"/>
      <c r="L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 spans="11:33" ht="12.5" x14ac:dyDescent="0.25">
      <c r="K461" s="2"/>
      <c r="L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 spans="11:33" ht="12.5" x14ac:dyDescent="0.25">
      <c r="K462" s="2"/>
      <c r="L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 spans="11:33" ht="12.5" x14ac:dyDescent="0.25">
      <c r="K463" s="2"/>
      <c r="L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 spans="11:33" ht="12.5" x14ac:dyDescent="0.25">
      <c r="K464" s="2"/>
      <c r="L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 spans="11:33" ht="12.5" x14ac:dyDescent="0.25">
      <c r="K465" s="2"/>
      <c r="L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 spans="11:33" ht="12.5" x14ac:dyDescent="0.25">
      <c r="K466" s="2"/>
      <c r="L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 spans="11:33" ht="12.5" x14ac:dyDescent="0.25">
      <c r="K467" s="2"/>
      <c r="L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 spans="11:33" ht="12.5" x14ac:dyDescent="0.25">
      <c r="K468" s="2"/>
      <c r="L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 spans="11:33" ht="12.5" x14ac:dyDescent="0.25">
      <c r="K469" s="2"/>
      <c r="L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 spans="11:33" ht="12.5" x14ac:dyDescent="0.25">
      <c r="K470" s="2"/>
      <c r="L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 spans="11:33" ht="12.5" x14ac:dyDescent="0.25">
      <c r="K471" s="2"/>
      <c r="L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 spans="11:33" ht="12.5" x14ac:dyDescent="0.25">
      <c r="K472" s="2"/>
      <c r="L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 spans="11:33" ht="12.5" x14ac:dyDescent="0.25">
      <c r="K473" s="2"/>
      <c r="L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 spans="11:33" ht="12.5" x14ac:dyDescent="0.25">
      <c r="K474" s="2"/>
      <c r="L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 spans="11:33" ht="12.5" x14ac:dyDescent="0.25">
      <c r="K475" s="2"/>
      <c r="L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 spans="11:33" ht="12.5" x14ac:dyDescent="0.25">
      <c r="K476" s="2"/>
      <c r="L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 spans="11:33" ht="12.5" x14ac:dyDescent="0.25">
      <c r="K477" s="2"/>
      <c r="L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 spans="11:33" ht="12.5" x14ac:dyDescent="0.25">
      <c r="K478" s="2"/>
      <c r="L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 spans="11:33" ht="12.5" x14ac:dyDescent="0.25">
      <c r="K479" s="2"/>
      <c r="L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1:33" ht="12.5" x14ac:dyDescent="0.25">
      <c r="K480" s="2"/>
      <c r="L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 spans="11:33" ht="12.5" x14ac:dyDescent="0.25">
      <c r="K481" s="2"/>
      <c r="L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 spans="11:33" ht="12.5" x14ac:dyDescent="0.25">
      <c r="K482" s="2"/>
      <c r="L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 spans="11:33" ht="12.5" x14ac:dyDescent="0.25">
      <c r="K483" s="2"/>
      <c r="L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 spans="11:33" ht="12.5" x14ac:dyDescent="0.25">
      <c r="K484" s="2"/>
      <c r="L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 spans="11:33" ht="12.5" x14ac:dyDescent="0.25">
      <c r="K485" s="2"/>
      <c r="L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 spans="11:33" ht="12.5" x14ac:dyDescent="0.25">
      <c r="K486" s="2"/>
      <c r="L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 spans="11:33" ht="12.5" x14ac:dyDescent="0.25">
      <c r="K487" s="2"/>
      <c r="L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 spans="11:33" ht="12.5" x14ac:dyDescent="0.25">
      <c r="K488" s="2"/>
      <c r="L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 spans="11:33" ht="12.5" x14ac:dyDescent="0.25">
      <c r="K489" s="2"/>
      <c r="L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 spans="11:33" ht="12.5" x14ac:dyDescent="0.25">
      <c r="K490" s="2"/>
      <c r="L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 spans="11:33" ht="12.5" x14ac:dyDescent="0.25">
      <c r="K491" s="2"/>
      <c r="L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 spans="11:33" ht="12.5" x14ac:dyDescent="0.25">
      <c r="K492" s="2"/>
      <c r="L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 spans="11:33" ht="12.5" x14ac:dyDescent="0.25">
      <c r="K493" s="2"/>
      <c r="L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 spans="11:33" ht="12.5" x14ac:dyDescent="0.25">
      <c r="K494" s="2"/>
      <c r="L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 spans="11:33" ht="12.5" x14ac:dyDescent="0.25">
      <c r="K495" s="2"/>
      <c r="L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 spans="11:33" ht="12.5" x14ac:dyDescent="0.25">
      <c r="K496" s="2"/>
      <c r="L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 spans="11:33" ht="12.5" x14ac:dyDescent="0.25">
      <c r="K497" s="2"/>
      <c r="L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 spans="11:33" ht="12.5" x14ac:dyDescent="0.25">
      <c r="K498" s="2"/>
      <c r="L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 spans="11:33" ht="12.5" x14ac:dyDescent="0.25">
      <c r="K499" s="2"/>
      <c r="L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 spans="11:33" ht="12.5" x14ac:dyDescent="0.25">
      <c r="K500" s="2"/>
      <c r="L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 spans="11:33" ht="12.5" x14ac:dyDescent="0.25">
      <c r="K501" s="2"/>
      <c r="L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 spans="11:33" ht="12.5" x14ac:dyDescent="0.25">
      <c r="K502" s="2"/>
      <c r="L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 spans="11:33" ht="12.5" x14ac:dyDescent="0.25">
      <c r="K503" s="2"/>
      <c r="L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 spans="11:33" ht="12.5" x14ac:dyDescent="0.25">
      <c r="K504" s="2"/>
      <c r="L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1:33" ht="12.5" x14ac:dyDescent="0.25">
      <c r="K505" s="2"/>
      <c r="L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 spans="11:33" ht="12.5" x14ac:dyDescent="0.25">
      <c r="K506" s="2"/>
      <c r="L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 spans="11:33" ht="12.5" x14ac:dyDescent="0.25">
      <c r="K507" s="2"/>
      <c r="L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 spans="11:33" ht="12.5" x14ac:dyDescent="0.25">
      <c r="K508" s="2"/>
      <c r="L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 spans="11:33" ht="12.5" x14ac:dyDescent="0.25">
      <c r="K509" s="2"/>
      <c r="L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 spans="11:33" ht="12.5" x14ac:dyDescent="0.25">
      <c r="K510" s="2"/>
      <c r="L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 spans="11:33" ht="12.5" x14ac:dyDescent="0.25">
      <c r="K511" s="2"/>
      <c r="L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 spans="11:33" ht="12.5" x14ac:dyDescent="0.25">
      <c r="K512" s="2"/>
      <c r="L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 spans="11:33" ht="12.5" x14ac:dyDescent="0.25">
      <c r="K513" s="2"/>
      <c r="L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 spans="11:33" ht="12.5" x14ac:dyDescent="0.25">
      <c r="K514" s="2"/>
      <c r="L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 spans="11:33" ht="12.5" x14ac:dyDescent="0.25">
      <c r="K515" s="2"/>
      <c r="L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 spans="11:33" ht="12.5" x14ac:dyDescent="0.25">
      <c r="K516" s="2"/>
      <c r="L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 spans="11:33" ht="12.5" x14ac:dyDescent="0.25">
      <c r="K517" s="2"/>
      <c r="L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 spans="11:33" ht="12.5" x14ac:dyDescent="0.25">
      <c r="K518" s="2"/>
      <c r="L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 spans="11:33" ht="12.5" x14ac:dyDescent="0.25">
      <c r="K519" s="2"/>
      <c r="L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 spans="11:33" ht="12.5" x14ac:dyDescent="0.25">
      <c r="K520" s="2"/>
      <c r="L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 spans="11:33" ht="12.5" x14ac:dyDescent="0.25">
      <c r="K521" s="2"/>
      <c r="L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 spans="11:33" ht="12.5" x14ac:dyDescent="0.25">
      <c r="K522" s="2"/>
      <c r="L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 spans="11:33" ht="12.5" x14ac:dyDescent="0.25">
      <c r="K523" s="2"/>
      <c r="L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 spans="11:33" ht="12.5" x14ac:dyDescent="0.25">
      <c r="K524" s="2"/>
      <c r="L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 spans="11:33" ht="12.5" x14ac:dyDescent="0.25">
      <c r="K525" s="2"/>
      <c r="L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 spans="11:33" ht="12.5" x14ac:dyDescent="0.25">
      <c r="K526" s="2"/>
      <c r="L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 spans="11:33" ht="12.5" x14ac:dyDescent="0.25">
      <c r="K527" s="2"/>
      <c r="L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 spans="11:33" ht="12.5" x14ac:dyDescent="0.25">
      <c r="K528" s="2"/>
      <c r="L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 spans="11:33" ht="12.5" x14ac:dyDescent="0.25">
      <c r="K529" s="2"/>
      <c r="L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1:33" ht="12.5" x14ac:dyDescent="0.25">
      <c r="K530" s="2"/>
      <c r="L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 spans="11:33" ht="12.5" x14ac:dyDescent="0.25">
      <c r="K531" s="2"/>
      <c r="L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 spans="11:33" ht="12.5" x14ac:dyDescent="0.25">
      <c r="K532" s="2"/>
      <c r="L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 spans="11:33" ht="12.5" x14ac:dyDescent="0.25">
      <c r="K533" s="2"/>
      <c r="L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 spans="11:33" ht="12.5" x14ac:dyDescent="0.25">
      <c r="K534" s="2"/>
      <c r="L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 spans="11:33" ht="12.5" x14ac:dyDescent="0.25">
      <c r="K535" s="2"/>
      <c r="L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 spans="11:33" ht="12.5" x14ac:dyDescent="0.25">
      <c r="K536" s="2"/>
      <c r="L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 spans="11:33" ht="12.5" x14ac:dyDescent="0.25">
      <c r="K537" s="2"/>
      <c r="L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 spans="11:33" ht="12.5" x14ac:dyDescent="0.25">
      <c r="K538" s="2"/>
      <c r="L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 spans="11:33" ht="12.5" x14ac:dyDescent="0.25">
      <c r="K539" s="2"/>
      <c r="L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 spans="11:33" ht="12.5" x14ac:dyDescent="0.25">
      <c r="K540" s="2"/>
      <c r="L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 spans="11:33" ht="12.5" x14ac:dyDescent="0.25">
      <c r="K541" s="2"/>
      <c r="L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 spans="11:33" ht="12.5" x14ac:dyDescent="0.25">
      <c r="K542" s="2"/>
      <c r="L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 spans="11:33" ht="12.5" x14ac:dyDescent="0.25">
      <c r="K543" s="2"/>
      <c r="L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 spans="11:33" ht="12.5" x14ac:dyDescent="0.25">
      <c r="K544" s="2"/>
      <c r="L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 spans="11:33" ht="12.5" x14ac:dyDescent="0.25">
      <c r="K545" s="2"/>
      <c r="L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 spans="11:33" ht="12.5" x14ac:dyDescent="0.25">
      <c r="K546" s="2"/>
      <c r="L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 spans="11:33" ht="12.5" x14ac:dyDescent="0.25">
      <c r="K547" s="2"/>
      <c r="L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 spans="11:33" ht="12.5" x14ac:dyDescent="0.25">
      <c r="K548" s="2"/>
      <c r="L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 spans="11:33" ht="12.5" x14ac:dyDescent="0.25">
      <c r="K549" s="2"/>
      <c r="L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 spans="11:33" ht="12.5" x14ac:dyDescent="0.25">
      <c r="K550" s="2"/>
      <c r="L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 spans="11:33" ht="12.5" x14ac:dyDescent="0.25">
      <c r="K551" s="2"/>
      <c r="L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 spans="11:33" ht="12.5" x14ac:dyDescent="0.25">
      <c r="K552" s="2"/>
      <c r="L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 spans="11:33" ht="12.5" x14ac:dyDescent="0.25">
      <c r="K553" s="2"/>
      <c r="L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1:33" ht="12.5" x14ac:dyDescent="0.25">
      <c r="K554" s="2"/>
      <c r="L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 spans="11:33" ht="12.5" x14ac:dyDescent="0.25">
      <c r="K555" s="2"/>
      <c r="L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 spans="11:33" ht="12.5" x14ac:dyDescent="0.25">
      <c r="K556" s="2"/>
      <c r="L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 spans="11:33" ht="12.5" x14ac:dyDescent="0.25">
      <c r="K557" s="2"/>
      <c r="L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 spans="11:33" ht="12.5" x14ac:dyDescent="0.25">
      <c r="K558" s="2"/>
      <c r="L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 spans="11:33" ht="12.5" x14ac:dyDescent="0.25">
      <c r="K559" s="2"/>
      <c r="L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 spans="11:33" ht="12.5" x14ac:dyDescent="0.25">
      <c r="K560" s="2"/>
      <c r="L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 spans="11:33" ht="12.5" x14ac:dyDescent="0.25">
      <c r="K561" s="2"/>
      <c r="L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 spans="11:33" ht="12.5" x14ac:dyDescent="0.25">
      <c r="K562" s="2"/>
      <c r="L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 spans="11:33" ht="12.5" x14ac:dyDescent="0.25">
      <c r="K563" s="2"/>
      <c r="L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 spans="11:33" ht="12.5" x14ac:dyDescent="0.25">
      <c r="K564" s="2"/>
      <c r="L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 spans="11:33" ht="12.5" x14ac:dyDescent="0.25">
      <c r="K565" s="2"/>
      <c r="L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 spans="11:33" ht="12.5" x14ac:dyDescent="0.25">
      <c r="K566" s="2"/>
      <c r="L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 spans="11:33" ht="12.5" x14ac:dyDescent="0.25">
      <c r="K567" s="2"/>
      <c r="L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 spans="11:33" ht="12.5" x14ac:dyDescent="0.25">
      <c r="K568" s="2"/>
      <c r="L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 spans="11:33" ht="12.5" x14ac:dyDescent="0.25">
      <c r="K569" s="2"/>
      <c r="L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 spans="11:33" ht="12.5" x14ac:dyDescent="0.25">
      <c r="K570" s="2"/>
      <c r="L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 spans="11:33" ht="12.5" x14ac:dyDescent="0.25">
      <c r="K571" s="2"/>
      <c r="L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 spans="11:33" ht="12.5" x14ac:dyDescent="0.25">
      <c r="K572" s="2"/>
      <c r="L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 spans="11:33" ht="12.5" x14ac:dyDescent="0.25">
      <c r="K573" s="2"/>
      <c r="L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 spans="11:33" ht="12.5" x14ac:dyDescent="0.25">
      <c r="K574" s="2"/>
      <c r="L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 spans="11:33" ht="12.5" x14ac:dyDescent="0.25">
      <c r="K575" s="2"/>
      <c r="L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 spans="11:33" ht="12.5" x14ac:dyDescent="0.25">
      <c r="K576" s="2"/>
      <c r="L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 spans="11:33" ht="12.5" x14ac:dyDescent="0.25">
      <c r="K577" s="2"/>
      <c r="L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 spans="11:33" ht="12.5" x14ac:dyDescent="0.25">
      <c r="K578" s="2"/>
      <c r="L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1:33" ht="12.5" x14ac:dyDescent="0.25">
      <c r="K579" s="2"/>
      <c r="L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 spans="11:33" ht="12.5" x14ac:dyDescent="0.25">
      <c r="K580" s="2"/>
      <c r="L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 spans="11:33" ht="12.5" x14ac:dyDescent="0.25">
      <c r="K581" s="2"/>
      <c r="L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 spans="11:33" ht="12.5" x14ac:dyDescent="0.25">
      <c r="K582" s="2"/>
      <c r="L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 spans="11:33" ht="12.5" x14ac:dyDescent="0.25">
      <c r="K583" s="2"/>
      <c r="L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 spans="11:33" ht="12.5" x14ac:dyDescent="0.25">
      <c r="K584" s="2"/>
      <c r="L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 spans="11:33" ht="12.5" x14ac:dyDescent="0.25">
      <c r="K585" s="2"/>
      <c r="L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 spans="11:33" ht="12.5" x14ac:dyDescent="0.25">
      <c r="K586" s="2"/>
      <c r="L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 spans="11:33" ht="12.5" x14ac:dyDescent="0.25">
      <c r="K587" s="2"/>
      <c r="L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 spans="11:33" ht="12.5" x14ac:dyDescent="0.25">
      <c r="K588" s="2"/>
      <c r="L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 spans="11:33" ht="12.5" x14ac:dyDescent="0.25">
      <c r="K589" s="2"/>
      <c r="L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 spans="11:33" ht="12.5" x14ac:dyDescent="0.25">
      <c r="K590" s="2"/>
      <c r="L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 spans="11:33" ht="12.5" x14ac:dyDescent="0.25">
      <c r="K591" s="2"/>
      <c r="L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 spans="11:33" ht="12.5" x14ac:dyDescent="0.25">
      <c r="K592" s="2"/>
      <c r="L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 spans="11:33" ht="12.5" x14ac:dyDescent="0.25">
      <c r="K593" s="2"/>
      <c r="L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 spans="11:33" ht="12.5" x14ac:dyDescent="0.25">
      <c r="K594" s="2"/>
      <c r="L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 spans="11:33" ht="12.5" x14ac:dyDescent="0.25">
      <c r="K595" s="2"/>
      <c r="L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 spans="11:33" ht="12.5" x14ac:dyDescent="0.25">
      <c r="K596" s="2"/>
      <c r="L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 spans="11:33" ht="12.5" x14ac:dyDescent="0.25">
      <c r="K597" s="2"/>
      <c r="L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 spans="11:33" ht="12.5" x14ac:dyDescent="0.25">
      <c r="K598" s="2"/>
      <c r="L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 spans="11:33" ht="12.5" x14ac:dyDescent="0.25">
      <c r="K599" s="2"/>
      <c r="L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 spans="11:33" ht="12.5" x14ac:dyDescent="0.25">
      <c r="K600" s="2"/>
      <c r="L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 spans="11:33" ht="12.5" x14ac:dyDescent="0.25">
      <c r="K601" s="2"/>
      <c r="L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 spans="11:33" ht="12.5" x14ac:dyDescent="0.25">
      <c r="K602" s="2"/>
      <c r="L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 spans="11:33" ht="12.5" x14ac:dyDescent="0.25">
      <c r="K603" s="2"/>
      <c r="L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1:33" ht="12.5" x14ac:dyDescent="0.25">
      <c r="K604" s="2"/>
      <c r="L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 spans="11:33" ht="12.5" x14ac:dyDescent="0.25">
      <c r="K605" s="2"/>
      <c r="L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 spans="11:33" ht="12.5" x14ac:dyDescent="0.25">
      <c r="K606" s="2"/>
      <c r="L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 spans="11:33" ht="12.5" x14ac:dyDescent="0.25">
      <c r="K607" s="2"/>
      <c r="L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 spans="11:33" ht="12.5" x14ac:dyDescent="0.25">
      <c r="K608" s="2"/>
      <c r="L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 spans="11:33" ht="12.5" x14ac:dyDescent="0.25">
      <c r="K609" s="2"/>
      <c r="L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 spans="11:33" ht="12.5" x14ac:dyDescent="0.25">
      <c r="K610" s="2"/>
      <c r="L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 spans="11:33" ht="12.5" x14ac:dyDescent="0.25">
      <c r="K611" s="2"/>
      <c r="L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 spans="11:33" ht="12.5" x14ac:dyDescent="0.25">
      <c r="K612" s="2"/>
      <c r="L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 spans="11:33" ht="12.5" x14ac:dyDescent="0.25">
      <c r="K613" s="2"/>
      <c r="L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 spans="11:33" ht="12.5" x14ac:dyDescent="0.25">
      <c r="K614" s="2"/>
      <c r="L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 spans="11:33" ht="12.5" x14ac:dyDescent="0.25">
      <c r="K615" s="2"/>
      <c r="L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 spans="11:33" ht="12.5" x14ac:dyDescent="0.25">
      <c r="K616" s="2"/>
      <c r="L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 spans="11:33" ht="12.5" x14ac:dyDescent="0.25">
      <c r="K617" s="2"/>
      <c r="L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 spans="11:33" ht="12.5" x14ac:dyDescent="0.25">
      <c r="K618" s="2"/>
      <c r="L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 spans="11:33" ht="12.5" x14ac:dyDescent="0.25">
      <c r="K619" s="2"/>
      <c r="L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 spans="11:33" ht="12.5" x14ac:dyDescent="0.25">
      <c r="K620" s="2"/>
      <c r="L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 spans="11:33" ht="12.5" x14ac:dyDescent="0.25">
      <c r="K621" s="2"/>
      <c r="L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 spans="11:33" ht="12.5" x14ac:dyDescent="0.25">
      <c r="K622" s="2"/>
      <c r="L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 spans="11:33" ht="12.5" x14ac:dyDescent="0.25">
      <c r="K623" s="2"/>
      <c r="L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 spans="11:33" ht="12.5" x14ac:dyDescent="0.25">
      <c r="K624" s="2"/>
      <c r="L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 spans="11:33" ht="12.5" x14ac:dyDescent="0.25">
      <c r="K625" s="2"/>
      <c r="L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 spans="11:33" ht="12.5" x14ac:dyDescent="0.25">
      <c r="K626" s="2"/>
      <c r="L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 spans="11:33" ht="12.5" x14ac:dyDescent="0.25">
      <c r="K627" s="2"/>
      <c r="L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 spans="11:33" ht="12.5" x14ac:dyDescent="0.25">
      <c r="K628" s="2"/>
      <c r="L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1:33" ht="12.5" x14ac:dyDescent="0.25">
      <c r="K629" s="2"/>
      <c r="L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 spans="11:33" ht="12.5" x14ac:dyDescent="0.25">
      <c r="K630" s="2"/>
      <c r="L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 spans="11:33" ht="12.5" x14ac:dyDescent="0.25">
      <c r="K631" s="2"/>
      <c r="L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 spans="11:33" ht="12.5" x14ac:dyDescent="0.25">
      <c r="K632" s="2"/>
      <c r="L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 spans="11:33" ht="12.5" x14ac:dyDescent="0.25">
      <c r="K633" s="2"/>
      <c r="L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 spans="11:33" ht="12.5" x14ac:dyDescent="0.25">
      <c r="K634" s="2"/>
      <c r="L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 spans="11:33" ht="12.5" x14ac:dyDescent="0.25">
      <c r="K635" s="2"/>
      <c r="L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 spans="11:33" ht="12.5" x14ac:dyDescent="0.25">
      <c r="K636" s="2"/>
      <c r="L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 spans="11:33" ht="12.5" x14ac:dyDescent="0.25">
      <c r="K637" s="2"/>
      <c r="L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 spans="11:33" ht="12.5" x14ac:dyDescent="0.25">
      <c r="K638" s="2"/>
      <c r="L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 spans="11:33" ht="12.5" x14ac:dyDescent="0.25">
      <c r="K639" s="2"/>
      <c r="L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 spans="11:33" ht="12.5" x14ac:dyDescent="0.25">
      <c r="K640" s="2"/>
      <c r="L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 spans="11:33" ht="12.5" x14ac:dyDescent="0.25">
      <c r="K641" s="2"/>
      <c r="L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 spans="11:33" ht="12.5" x14ac:dyDescent="0.25">
      <c r="K642" s="2"/>
      <c r="L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 spans="11:33" ht="12.5" x14ac:dyDescent="0.25">
      <c r="K643" s="2"/>
      <c r="L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 spans="11:33" ht="12.5" x14ac:dyDescent="0.25">
      <c r="K644" s="2"/>
      <c r="L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 spans="11:33" ht="12.5" x14ac:dyDescent="0.25">
      <c r="K645" s="2"/>
      <c r="L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 spans="11:33" ht="12.5" x14ac:dyDescent="0.25">
      <c r="K646" s="2"/>
      <c r="L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1:33" ht="12.5" x14ac:dyDescent="0.25">
      <c r="K647" s="2"/>
      <c r="L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 spans="11:33" ht="12.5" x14ac:dyDescent="0.25">
      <c r="K648" s="2"/>
      <c r="L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 spans="11:33" ht="12.5" x14ac:dyDescent="0.25">
      <c r="K649" s="2"/>
      <c r="L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 spans="11:33" ht="12.5" x14ac:dyDescent="0.25">
      <c r="K650" s="2"/>
      <c r="L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 spans="11:33" ht="12.5" x14ac:dyDescent="0.25">
      <c r="K651" s="2"/>
      <c r="L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 spans="11:33" ht="12.5" x14ac:dyDescent="0.25">
      <c r="K652" s="2"/>
      <c r="L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 spans="11:33" ht="12.5" x14ac:dyDescent="0.25">
      <c r="K653" s="2"/>
      <c r="L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 spans="11:33" ht="12.5" x14ac:dyDescent="0.25">
      <c r="K654" s="2"/>
      <c r="L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 spans="11:33" ht="12.5" x14ac:dyDescent="0.25">
      <c r="K655" s="2"/>
      <c r="L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 spans="11:33" ht="12.5" x14ac:dyDescent="0.25">
      <c r="K656" s="2"/>
      <c r="L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 spans="11:33" ht="12.5" x14ac:dyDescent="0.25">
      <c r="K657" s="2"/>
      <c r="L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 spans="11:33" ht="12.5" x14ac:dyDescent="0.25">
      <c r="K658" s="2"/>
      <c r="L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 spans="11:33" ht="12.5" x14ac:dyDescent="0.25">
      <c r="K659" s="2"/>
      <c r="L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 spans="11:33" ht="12.5" x14ac:dyDescent="0.25">
      <c r="K660" s="2"/>
      <c r="L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 spans="11:33" ht="12.5" x14ac:dyDescent="0.25">
      <c r="K661" s="2"/>
      <c r="L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 spans="11:33" ht="12.5" x14ac:dyDescent="0.25">
      <c r="K662" s="2"/>
      <c r="L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 spans="11:33" ht="12.5" x14ac:dyDescent="0.25">
      <c r="K663" s="2"/>
      <c r="L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 spans="11:33" ht="12.5" x14ac:dyDescent="0.25">
      <c r="K664" s="2"/>
      <c r="L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 spans="11:33" ht="12.5" x14ac:dyDescent="0.25">
      <c r="K665" s="2"/>
      <c r="L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 spans="11:33" ht="12.5" x14ac:dyDescent="0.25">
      <c r="K666" s="2"/>
      <c r="L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 spans="11:33" ht="12.5" x14ac:dyDescent="0.25">
      <c r="K667" s="2"/>
      <c r="L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 spans="11:33" ht="12.5" x14ac:dyDescent="0.25">
      <c r="K668" s="2"/>
      <c r="L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 spans="11:33" ht="12.5" x14ac:dyDescent="0.25">
      <c r="K669" s="2"/>
      <c r="L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 spans="11:33" ht="12.5" x14ac:dyDescent="0.25">
      <c r="K670" s="2"/>
      <c r="L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 spans="11:33" ht="12.5" x14ac:dyDescent="0.25">
      <c r="K671" s="2"/>
      <c r="L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 spans="11:33" ht="12.5" x14ac:dyDescent="0.25">
      <c r="K672" s="2"/>
      <c r="L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 spans="11:33" ht="12.5" x14ac:dyDescent="0.25">
      <c r="K673" s="2"/>
      <c r="L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 spans="11:33" ht="12.5" x14ac:dyDescent="0.25">
      <c r="K674" s="2"/>
      <c r="L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 spans="11:33" ht="12.5" x14ac:dyDescent="0.25">
      <c r="K675" s="2"/>
      <c r="L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 spans="11:33" ht="12.5" x14ac:dyDescent="0.25">
      <c r="K676" s="2"/>
      <c r="L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 spans="11:33" ht="12.5" x14ac:dyDescent="0.25">
      <c r="K677" s="2"/>
      <c r="L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 spans="11:33" ht="12.5" x14ac:dyDescent="0.25">
      <c r="K678" s="2"/>
      <c r="L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 spans="11:33" ht="12.5" x14ac:dyDescent="0.25">
      <c r="K679" s="2"/>
      <c r="L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 spans="11:33" ht="12.5" x14ac:dyDescent="0.25">
      <c r="K680" s="2"/>
      <c r="L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 spans="11:33" ht="12.5" x14ac:dyDescent="0.25">
      <c r="K681" s="2"/>
      <c r="L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 spans="11:33" ht="12.5" x14ac:dyDescent="0.25">
      <c r="K682" s="2"/>
      <c r="L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 spans="11:33" ht="12.5" x14ac:dyDescent="0.25">
      <c r="K683" s="2"/>
      <c r="L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 spans="11:33" ht="12.5" x14ac:dyDescent="0.25">
      <c r="K684" s="2"/>
      <c r="L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 spans="11:33" ht="12.5" x14ac:dyDescent="0.25">
      <c r="K685" s="2"/>
      <c r="L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 spans="11:33" ht="12.5" x14ac:dyDescent="0.25">
      <c r="K686" s="2"/>
      <c r="L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 spans="11:33" ht="12.5" x14ac:dyDescent="0.25">
      <c r="K687" s="2"/>
      <c r="L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 spans="11:33" ht="12.5" x14ac:dyDescent="0.25">
      <c r="K688" s="2"/>
      <c r="L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 spans="11:33" ht="12.5" x14ac:dyDescent="0.25">
      <c r="K689" s="2"/>
      <c r="L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 spans="11:33" ht="12.5" x14ac:dyDescent="0.25">
      <c r="K690" s="2"/>
      <c r="L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 spans="11:33" ht="12.5" x14ac:dyDescent="0.25">
      <c r="K691" s="2"/>
      <c r="L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 spans="11:33" ht="12.5" x14ac:dyDescent="0.25">
      <c r="K692" s="2"/>
      <c r="L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 spans="11:33" ht="12.5" x14ac:dyDescent="0.25">
      <c r="K693" s="2"/>
      <c r="L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 spans="11:33" ht="12.5" x14ac:dyDescent="0.25">
      <c r="K694" s="2"/>
      <c r="L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 spans="11:33" ht="12.5" x14ac:dyDescent="0.25">
      <c r="K695" s="2"/>
      <c r="L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 spans="11:33" ht="12.5" x14ac:dyDescent="0.25">
      <c r="K696" s="2"/>
      <c r="L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 spans="11:33" ht="12.5" x14ac:dyDescent="0.25">
      <c r="K697" s="2"/>
      <c r="L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 spans="11:33" ht="12.5" x14ac:dyDescent="0.25">
      <c r="K698" s="2"/>
      <c r="L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spans="11:33" ht="12.5" x14ac:dyDescent="0.25">
      <c r="K699" s="2"/>
      <c r="L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 spans="11:33" ht="12.5" x14ac:dyDescent="0.25">
      <c r="K700" s="2"/>
      <c r="L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spans="11:33" ht="12.5" x14ac:dyDescent="0.25">
      <c r="K701" s="2"/>
      <c r="L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 spans="11:33" ht="12.5" x14ac:dyDescent="0.25">
      <c r="K702" s="2"/>
      <c r="L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 spans="11:33" ht="12.5" x14ac:dyDescent="0.25">
      <c r="K703" s="2"/>
      <c r="L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 spans="11:33" ht="12.5" x14ac:dyDescent="0.25">
      <c r="K704" s="2"/>
      <c r="L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 spans="11:33" ht="12.5" x14ac:dyDescent="0.25">
      <c r="K705" s="2"/>
      <c r="L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 spans="11:33" ht="12.5" x14ac:dyDescent="0.25">
      <c r="K706" s="2"/>
      <c r="L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 spans="11:33" ht="12.5" x14ac:dyDescent="0.25">
      <c r="K707" s="2"/>
      <c r="L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 spans="11:33" ht="12.5" x14ac:dyDescent="0.25">
      <c r="K708" s="2"/>
      <c r="L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 spans="11:33" ht="12.5" x14ac:dyDescent="0.25">
      <c r="K709" s="2"/>
      <c r="L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 spans="11:33" ht="12.5" x14ac:dyDescent="0.25">
      <c r="K710" s="2"/>
      <c r="L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 spans="11:33" ht="12.5" x14ac:dyDescent="0.25">
      <c r="K711" s="2"/>
      <c r="L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 spans="11:33" ht="12.5" x14ac:dyDescent="0.25">
      <c r="K712" s="2"/>
      <c r="L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 spans="11:33" ht="12.5" x14ac:dyDescent="0.25">
      <c r="K713" s="2"/>
      <c r="L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 spans="11:33" ht="12.5" x14ac:dyDescent="0.25">
      <c r="K714" s="2"/>
      <c r="L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 spans="11:33" ht="12.5" x14ac:dyDescent="0.25">
      <c r="K715" s="2"/>
      <c r="L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 spans="11:33" ht="12.5" x14ac:dyDescent="0.25">
      <c r="K716" s="2"/>
      <c r="L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 spans="11:33" ht="12.5" x14ac:dyDescent="0.25">
      <c r="K717" s="2"/>
      <c r="L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 spans="11:33" ht="12.5" x14ac:dyDescent="0.25">
      <c r="K718" s="2"/>
      <c r="L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 spans="11:33" ht="12.5" x14ac:dyDescent="0.25">
      <c r="K719" s="2"/>
      <c r="L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 spans="11:33" ht="12.5" x14ac:dyDescent="0.25">
      <c r="K720" s="2"/>
      <c r="L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 spans="11:33" ht="12.5" x14ac:dyDescent="0.25">
      <c r="K721" s="2"/>
      <c r="L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 spans="11:33" ht="12.5" x14ac:dyDescent="0.25">
      <c r="K722" s="2"/>
      <c r="L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 spans="11:33" ht="12.5" x14ac:dyDescent="0.25">
      <c r="K723" s="2"/>
      <c r="L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 spans="11:33" ht="12.5" x14ac:dyDescent="0.25">
      <c r="K724" s="2"/>
      <c r="L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 spans="11:33" ht="12.5" x14ac:dyDescent="0.25">
      <c r="K725" s="2"/>
      <c r="L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 spans="11:33" ht="12.5" x14ac:dyDescent="0.25">
      <c r="K726" s="2"/>
      <c r="L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 spans="11:33" ht="12.5" x14ac:dyDescent="0.25">
      <c r="K727" s="2"/>
      <c r="L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 spans="11:33" ht="12.5" x14ac:dyDescent="0.25">
      <c r="K728" s="2"/>
      <c r="L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 spans="11:33" ht="12.5" x14ac:dyDescent="0.25">
      <c r="K729" s="2"/>
      <c r="L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 spans="11:33" ht="12.5" x14ac:dyDescent="0.25">
      <c r="K730" s="2"/>
      <c r="L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 spans="11:33" ht="12.5" x14ac:dyDescent="0.25">
      <c r="K731" s="2"/>
      <c r="L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spans="11:33" ht="12.5" x14ac:dyDescent="0.25">
      <c r="K732" s="2"/>
      <c r="L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 spans="11:33" ht="12.5" x14ac:dyDescent="0.25">
      <c r="K733" s="2"/>
      <c r="L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 spans="11:33" ht="12.5" x14ac:dyDescent="0.25">
      <c r="K734" s="2"/>
      <c r="L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 spans="11:33" ht="12.5" x14ac:dyDescent="0.25">
      <c r="K735" s="2"/>
      <c r="L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 spans="11:33" ht="12.5" x14ac:dyDescent="0.25">
      <c r="K736" s="2"/>
      <c r="L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 spans="11:33" ht="12.5" x14ac:dyDescent="0.25">
      <c r="K737" s="2"/>
      <c r="L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 spans="11:33" ht="12.5" x14ac:dyDescent="0.25">
      <c r="K738" s="2"/>
      <c r="L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 spans="11:33" ht="12.5" x14ac:dyDescent="0.25">
      <c r="K739" s="2"/>
      <c r="L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 spans="11:33" ht="12.5" x14ac:dyDescent="0.25">
      <c r="K740" s="2"/>
      <c r="L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 spans="11:33" ht="12.5" x14ac:dyDescent="0.25">
      <c r="K741" s="2"/>
      <c r="L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 spans="11:33" ht="12.5" x14ac:dyDescent="0.25">
      <c r="K742" s="2"/>
      <c r="L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 spans="11:33" ht="12.5" x14ac:dyDescent="0.25">
      <c r="K743" s="2"/>
      <c r="L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 spans="11:33" ht="12.5" x14ac:dyDescent="0.25">
      <c r="K744" s="2"/>
      <c r="L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 spans="11:33" ht="12.5" x14ac:dyDescent="0.25">
      <c r="K745" s="2"/>
      <c r="L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 spans="11:33" ht="12.5" x14ac:dyDescent="0.25">
      <c r="K746" s="2"/>
      <c r="L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 spans="11:33" ht="12.5" x14ac:dyDescent="0.25">
      <c r="K747" s="2"/>
      <c r="L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 spans="11:33" ht="12.5" x14ac:dyDescent="0.25">
      <c r="K748" s="2"/>
      <c r="L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 spans="11:33" ht="12.5" x14ac:dyDescent="0.25">
      <c r="K749" s="2"/>
      <c r="L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 spans="11:33" ht="12.5" x14ac:dyDescent="0.25">
      <c r="K750" s="2"/>
      <c r="L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 spans="11:33" ht="12.5" x14ac:dyDescent="0.25">
      <c r="K751" s="2"/>
      <c r="L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 spans="11:33" ht="12.5" x14ac:dyDescent="0.25">
      <c r="K752" s="2"/>
      <c r="L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 spans="11:33" ht="12.5" x14ac:dyDescent="0.25">
      <c r="K753" s="2"/>
      <c r="L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 spans="11:33" ht="12.5" x14ac:dyDescent="0.25">
      <c r="K754" s="2"/>
      <c r="L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spans="11:33" ht="12.5" x14ac:dyDescent="0.25">
      <c r="K755" s="2"/>
      <c r="L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 spans="11:33" ht="12.5" x14ac:dyDescent="0.25">
      <c r="K756" s="2"/>
      <c r="L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 spans="11:33" ht="12.5" x14ac:dyDescent="0.25">
      <c r="K757" s="2"/>
      <c r="L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 spans="11:33" ht="12.5" x14ac:dyDescent="0.25">
      <c r="K758" s="2"/>
      <c r="L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 spans="11:33" ht="12.5" x14ac:dyDescent="0.25">
      <c r="K759" s="2"/>
      <c r="L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 spans="11:33" ht="12.5" x14ac:dyDescent="0.25">
      <c r="K760" s="2"/>
      <c r="L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 spans="11:33" ht="12.5" x14ac:dyDescent="0.25">
      <c r="K761" s="2"/>
      <c r="L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 spans="11:33" ht="12.5" x14ac:dyDescent="0.25">
      <c r="K762" s="2"/>
      <c r="L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 spans="11:33" ht="12.5" x14ac:dyDescent="0.25">
      <c r="K763" s="2"/>
      <c r="L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 spans="11:33" ht="12.5" x14ac:dyDescent="0.25">
      <c r="K764" s="2"/>
      <c r="L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spans="11:33" ht="12.5" x14ac:dyDescent="0.25">
      <c r="K765" s="2"/>
      <c r="L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 spans="11:33" ht="12.5" x14ac:dyDescent="0.25">
      <c r="K766" s="2"/>
      <c r="L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 spans="11:33" ht="12.5" x14ac:dyDescent="0.25">
      <c r="K767" s="2"/>
      <c r="L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 spans="11:33" ht="12.5" x14ac:dyDescent="0.25">
      <c r="K768" s="2"/>
      <c r="L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 spans="11:33" ht="12.5" x14ac:dyDescent="0.25">
      <c r="K769" s="2"/>
      <c r="L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 spans="11:33" ht="12.5" x14ac:dyDescent="0.25">
      <c r="K770" s="2"/>
      <c r="L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 spans="11:33" ht="12.5" x14ac:dyDescent="0.25">
      <c r="K771" s="2"/>
      <c r="L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 spans="11:33" ht="12.5" x14ac:dyDescent="0.25">
      <c r="K772" s="2"/>
      <c r="L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 spans="11:33" ht="12.5" x14ac:dyDescent="0.25">
      <c r="K773" s="2"/>
      <c r="L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 spans="11:33" ht="12.5" x14ac:dyDescent="0.25">
      <c r="K774" s="2"/>
      <c r="L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 spans="11:33" ht="12.5" x14ac:dyDescent="0.25">
      <c r="K775" s="2"/>
      <c r="L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 spans="11:33" ht="12.5" x14ac:dyDescent="0.25">
      <c r="K776" s="2"/>
      <c r="L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 spans="11:33" ht="12.5" x14ac:dyDescent="0.25">
      <c r="K777" s="2"/>
      <c r="L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 spans="11:33" ht="12.5" x14ac:dyDescent="0.25">
      <c r="K778" s="2"/>
      <c r="L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 spans="11:33" ht="12.5" x14ac:dyDescent="0.25">
      <c r="K779" s="2"/>
      <c r="L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spans="11:33" ht="12.5" x14ac:dyDescent="0.25">
      <c r="K780" s="2"/>
      <c r="L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 spans="11:33" ht="12.5" x14ac:dyDescent="0.25">
      <c r="K781" s="2"/>
      <c r="L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 spans="11:33" ht="12.5" x14ac:dyDescent="0.25">
      <c r="K782" s="2"/>
      <c r="L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 spans="11:33" ht="12.5" x14ac:dyDescent="0.25">
      <c r="K783" s="2"/>
      <c r="L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 spans="11:33" ht="12.5" x14ac:dyDescent="0.25">
      <c r="K784" s="2"/>
      <c r="L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spans="11:33" ht="12.5" x14ac:dyDescent="0.25">
      <c r="K785" s="2"/>
      <c r="L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 spans="11:33" ht="12.5" x14ac:dyDescent="0.25">
      <c r="K786" s="2"/>
      <c r="L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 spans="11:33" ht="12.5" x14ac:dyDescent="0.25">
      <c r="K787" s="2"/>
      <c r="L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 spans="11:33" ht="12.5" x14ac:dyDescent="0.25">
      <c r="K788" s="2"/>
      <c r="L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 spans="11:33" ht="12.5" x14ac:dyDescent="0.25">
      <c r="K789" s="2"/>
      <c r="L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 spans="11:33" ht="12.5" x14ac:dyDescent="0.25">
      <c r="K790" s="2"/>
      <c r="L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spans="11:33" ht="12.5" x14ac:dyDescent="0.25">
      <c r="K791" s="2"/>
      <c r="L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 spans="11:33" ht="12.5" x14ac:dyDescent="0.25">
      <c r="K792" s="2"/>
      <c r="L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 spans="11:33" ht="12.5" x14ac:dyDescent="0.25">
      <c r="K793" s="2"/>
      <c r="L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 spans="11:33" ht="12.5" x14ac:dyDescent="0.25">
      <c r="K794" s="2"/>
      <c r="L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 spans="11:33" ht="12.5" x14ac:dyDescent="0.25">
      <c r="K795" s="2"/>
      <c r="L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 spans="11:33" ht="12.5" x14ac:dyDescent="0.25">
      <c r="K796" s="2"/>
      <c r="L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 spans="11:33" ht="12.5" x14ac:dyDescent="0.25">
      <c r="K797" s="2"/>
      <c r="L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 spans="11:33" ht="12.5" x14ac:dyDescent="0.25">
      <c r="K798" s="2"/>
      <c r="L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 spans="11:33" ht="12.5" x14ac:dyDescent="0.25">
      <c r="K799" s="2"/>
      <c r="L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 spans="11:33" ht="12.5" x14ac:dyDescent="0.25">
      <c r="K800" s="2"/>
      <c r="L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 spans="11:33" ht="12.5" x14ac:dyDescent="0.25">
      <c r="K801" s="2"/>
      <c r="L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 spans="11:33" ht="12.5" x14ac:dyDescent="0.25">
      <c r="K802" s="2"/>
      <c r="L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 spans="11:33" ht="12.5" x14ac:dyDescent="0.25">
      <c r="K803" s="2"/>
      <c r="L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 spans="11:33" ht="12.5" x14ac:dyDescent="0.25">
      <c r="K804" s="2"/>
      <c r="L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spans="11:33" ht="12.5" x14ac:dyDescent="0.25">
      <c r="K805" s="2"/>
      <c r="L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spans="11:33" ht="12.5" x14ac:dyDescent="0.25">
      <c r="K806" s="2"/>
      <c r="L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spans="11:33" ht="12.5" x14ac:dyDescent="0.25">
      <c r="K807" s="2"/>
      <c r="L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 spans="11:33" ht="12.5" x14ac:dyDescent="0.25">
      <c r="K808" s="2"/>
      <c r="L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 spans="11:33" ht="12.5" x14ac:dyDescent="0.25">
      <c r="K809" s="2"/>
      <c r="L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 spans="11:33" ht="12.5" x14ac:dyDescent="0.25">
      <c r="K810" s="2"/>
      <c r="L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 spans="11:33" ht="12.5" x14ac:dyDescent="0.25">
      <c r="K811" s="2"/>
      <c r="L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 spans="11:33" ht="12.5" x14ac:dyDescent="0.25">
      <c r="K812" s="2"/>
      <c r="L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 spans="11:33" ht="12.5" x14ac:dyDescent="0.25">
      <c r="K813" s="2"/>
      <c r="L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 spans="11:33" ht="12.5" x14ac:dyDescent="0.25">
      <c r="K814" s="2"/>
      <c r="L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 spans="11:33" ht="12.5" x14ac:dyDescent="0.25">
      <c r="K815" s="2"/>
      <c r="L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 spans="11:33" ht="12.5" x14ac:dyDescent="0.25">
      <c r="K816" s="2"/>
      <c r="L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 spans="11:33" ht="12.5" x14ac:dyDescent="0.25">
      <c r="K817" s="2"/>
      <c r="L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 spans="11:33" ht="12.5" x14ac:dyDescent="0.25">
      <c r="K818" s="2"/>
      <c r="L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 spans="11:33" ht="12.5" x14ac:dyDescent="0.25">
      <c r="K819" s="2"/>
      <c r="L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spans="11:33" ht="12.5" x14ac:dyDescent="0.25">
      <c r="K820" s="2"/>
      <c r="L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spans="11:33" ht="12.5" x14ac:dyDescent="0.25">
      <c r="K821" s="2"/>
      <c r="L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 spans="11:33" ht="12.5" x14ac:dyDescent="0.25">
      <c r="K822" s="2"/>
      <c r="L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 spans="11:33" ht="12.5" x14ac:dyDescent="0.25">
      <c r="K823" s="2"/>
      <c r="L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 spans="11:33" ht="12.5" x14ac:dyDescent="0.25">
      <c r="K824" s="2"/>
      <c r="L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 spans="11:33" ht="12.5" x14ac:dyDescent="0.25">
      <c r="K825" s="2"/>
      <c r="L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 spans="11:33" ht="12.5" x14ac:dyDescent="0.25">
      <c r="K826" s="2"/>
      <c r="L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 spans="11:33" ht="12.5" x14ac:dyDescent="0.25">
      <c r="K827" s="2"/>
      <c r="L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spans="11:33" ht="12.5" x14ac:dyDescent="0.25">
      <c r="K828" s="2"/>
      <c r="L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 spans="11:33" ht="12.5" x14ac:dyDescent="0.25">
      <c r="K829" s="2"/>
      <c r="L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 spans="11:33" ht="12.5" x14ac:dyDescent="0.25">
      <c r="K830" s="2"/>
      <c r="L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spans="11:33" ht="12.5" x14ac:dyDescent="0.25">
      <c r="K831" s="2"/>
      <c r="L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 spans="11:33" ht="12.5" x14ac:dyDescent="0.25">
      <c r="K832" s="2"/>
      <c r="L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spans="11:33" ht="12.5" x14ac:dyDescent="0.25">
      <c r="K833" s="2"/>
      <c r="L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spans="11:33" ht="12.5" x14ac:dyDescent="0.25">
      <c r="K834" s="2"/>
      <c r="L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 spans="11:33" ht="12.5" x14ac:dyDescent="0.25">
      <c r="K835" s="2"/>
      <c r="L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 spans="11:33" ht="12.5" x14ac:dyDescent="0.25">
      <c r="K836" s="2"/>
      <c r="L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 spans="11:33" ht="12.5" x14ac:dyDescent="0.25">
      <c r="K837" s="2"/>
      <c r="L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 spans="11:33" ht="12.5" x14ac:dyDescent="0.25">
      <c r="K838" s="2"/>
      <c r="L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 spans="11:33" ht="12.5" x14ac:dyDescent="0.25">
      <c r="K839" s="2"/>
      <c r="L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 spans="11:33" ht="12.5" x14ac:dyDescent="0.25">
      <c r="K840" s="2"/>
      <c r="L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spans="11:33" ht="12.5" x14ac:dyDescent="0.25">
      <c r="K841" s="2"/>
      <c r="L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 spans="11:33" ht="12.5" x14ac:dyDescent="0.25">
      <c r="K842" s="2"/>
      <c r="L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 spans="11:33" ht="12.5" x14ac:dyDescent="0.25">
      <c r="K843" s="2"/>
      <c r="L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 spans="11:33" ht="12.5" x14ac:dyDescent="0.25">
      <c r="K844" s="2"/>
      <c r="L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 spans="11:33" ht="12.5" x14ac:dyDescent="0.25">
      <c r="K845" s="2"/>
      <c r="L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 spans="11:33" ht="12.5" x14ac:dyDescent="0.25">
      <c r="K846" s="2"/>
      <c r="L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 spans="11:33" ht="12.5" x14ac:dyDescent="0.25">
      <c r="K847" s="2"/>
      <c r="L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 spans="11:33" ht="12.5" x14ac:dyDescent="0.25">
      <c r="K848" s="2"/>
      <c r="L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 spans="11:33" ht="12.5" x14ac:dyDescent="0.25">
      <c r="K849" s="2"/>
      <c r="L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 spans="11:33" ht="12.5" x14ac:dyDescent="0.25">
      <c r="K850" s="2"/>
      <c r="L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spans="11:33" ht="12.5" x14ac:dyDescent="0.25">
      <c r="K851" s="2"/>
      <c r="L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spans="11:33" ht="12.5" x14ac:dyDescent="0.25">
      <c r="K852" s="2"/>
      <c r="L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 spans="11:33" ht="12.5" x14ac:dyDescent="0.25">
      <c r="K853" s="2"/>
      <c r="L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 spans="11:33" ht="12.5" x14ac:dyDescent="0.25">
      <c r="K854" s="2"/>
      <c r="L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 spans="11:33" ht="12.5" x14ac:dyDescent="0.25">
      <c r="K855" s="2"/>
      <c r="L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 spans="11:33" ht="12.5" x14ac:dyDescent="0.25">
      <c r="K856" s="2"/>
      <c r="L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 spans="11:33" ht="12.5" x14ac:dyDescent="0.25">
      <c r="K857" s="2"/>
      <c r="L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 spans="11:33" ht="12.5" x14ac:dyDescent="0.25">
      <c r="K858" s="2"/>
      <c r="L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 spans="11:33" ht="12.5" x14ac:dyDescent="0.25">
      <c r="K859" s="2"/>
      <c r="L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 spans="11:33" ht="12.5" x14ac:dyDescent="0.25">
      <c r="K860" s="2"/>
      <c r="L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 spans="11:33" ht="12.5" x14ac:dyDescent="0.25">
      <c r="K861" s="2"/>
      <c r="L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 spans="11:33" ht="12.5" x14ac:dyDescent="0.25">
      <c r="K862" s="2"/>
      <c r="L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 spans="11:33" ht="12.5" x14ac:dyDescent="0.25">
      <c r="K863" s="2"/>
      <c r="L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 spans="11:33" ht="12.5" x14ac:dyDescent="0.25">
      <c r="K864" s="2"/>
      <c r="L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 spans="11:33" ht="12.5" x14ac:dyDescent="0.25">
      <c r="K865" s="2"/>
      <c r="L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 spans="11:33" ht="12.5" x14ac:dyDescent="0.25">
      <c r="K866" s="2"/>
      <c r="L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 spans="11:33" ht="12.5" x14ac:dyDescent="0.25">
      <c r="K867" s="2"/>
      <c r="L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 spans="11:33" ht="12.5" x14ac:dyDescent="0.25">
      <c r="K868" s="2"/>
      <c r="L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 spans="11:33" ht="12.5" x14ac:dyDescent="0.25">
      <c r="K869" s="2"/>
      <c r="L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 spans="11:33" ht="12.5" x14ac:dyDescent="0.25">
      <c r="K870" s="2"/>
      <c r="L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 spans="11:33" ht="12.5" x14ac:dyDescent="0.25">
      <c r="K871" s="2"/>
      <c r="L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spans="11:33" ht="12.5" x14ac:dyDescent="0.25">
      <c r="K872" s="2"/>
      <c r="L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 spans="11:33" ht="12.5" x14ac:dyDescent="0.25">
      <c r="K873" s="2"/>
      <c r="L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 spans="11:33" ht="12.5" x14ac:dyDescent="0.25">
      <c r="K874" s="2"/>
      <c r="L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 spans="11:33" ht="12.5" x14ac:dyDescent="0.25">
      <c r="K875" s="2"/>
      <c r="L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 spans="11:33" ht="12.5" x14ac:dyDescent="0.25">
      <c r="K876" s="2"/>
      <c r="L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 spans="11:33" ht="12.5" x14ac:dyDescent="0.25">
      <c r="K877" s="2"/>
      <c r="L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 spans="11:33" ht="12.5" x14ac:dyDescent="0.25">
      <c r="K878" s="2"/>
      <c r="L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 spans="11:33" ht="12.5" x14ac:dyDescent="0.25">
      <c r="K879" s="2"/>
      <c r="L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 spans="11:33" ht="12.5" x14ac:dyDescent="0.25">
      <c r="K880" s="2"/>
      <c r="L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 spans="11:33" ht="12.5" x14ac:dyDescent="0.25">
      <c r="K881" s="2"/>
      <c r="L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 spans="11:33" ht="12.5" x14ac:dyDescent="0.25">
      <c r="K882" s="2"/>
      <c r="L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 spans="11:33" ht="12.5" x14ac:dyDescent="0.25">
      <c r="K883" s="2"/>
      <c r="L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 spans="11:33" ht="12.5" x14ac:dyDescent="0.25">
      <c r="K884" s="2"/>
      <c r="L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 spans="11:33" ht="12.5" x14ac:dyDescent="0.25">
      <c r="K885" s="2"/>
      <c r="L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 spans="11:33" ht="12.5" x14ac:dyDescent="0.25">
      <c r="K886" s="2"/>
      <c r="L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 spans="11:33" ht="12.5" x14ac:dyDescent="0.25">
      <c r="K887" s="2"/>
      <c r="L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 spans="11:33" ht="12.5" x14ac:dyDescent="0.25">
      <c r="K888" s="2"/>
      <c r="L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 spans="11:33" ht="12.5" x14ac:dyDescent="0.25">
      <c r="K889" s="2"/>
      <c r="L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 spans="11:33" ht="12.5" x14ac:dyDescent="0.25">
      <c r="K890" s="2"/>
      <c r="L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 spans="11:33" ht="12.5" x14ac:dyDescent="0.25">
      <c r="K891" s="2"/>
      <c r="L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 spans="11:33" ht="12.5" x14ac:dyDescent="0.25">
      <c r="K892" s="2"/>
      <c r="L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 spans="11:33" ht="12.5" x14ac:dyDescent="0.25">
      <c r="K893" s="2"/>
      <c r="L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spans="11:33" ht="12.5" x14ac:dyDescent="0.25">
      <c r="K894" s="2"/>
      <c r="L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 spans="11:33" ht="12.5" x14ac:dyDescent="0.25">
      <c r="K895" s="2"/>
      <c r="L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 spans="11:33" ht="12.5" x14ac:dyDescent="0.25">
      <c r="K896" s="2"/>
      <c r="L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 spans="11:33" ht="12.5" x14ac:dyDescent="0.25">
      <c r="K897" s="2"/>
      <c r="L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 spans="11:33" ht="12.5" x14ac:dyDescent="0.25">
      <c r="K898" s="2"/>
      <c r="L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 spans="11:33" ht="12.5" x14ac:dyDescent="0.25">
      <c r="K899" s="2"/>
      <c r="L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 spans="11:33" ht="12.5" x14ac:dyDescent="0.25">
      <c r="K900" s="2"/>
      <c r="L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 spans="11:33" ht="12.5" x14ac:dyDescent="0.25">
      <c r="K901" s="2"/>
      <c r="L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spans="11:33" ht="12.5" x14ac:dyDescent="0.25">
      <c r="K902" s="2"/>
      <c r="L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 spans="11:33" ht="12.5" x14ac:dyDescent="0.25">
      <c r="K903" s="2"/>
      <c r="L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 spans="11:33" ht="12.5" x14ac:dyDescent="0.25">
      <c r="K904" s="2"/>
      <c r="L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 spans="11:33" ht="12.5" x14ac:dyDescent="0.25">
      <c r="K905" s="2"/>
      <c r="L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 spans="11:33" ht="12.5" x14ac:dyDescent="0.25">
      <c r="K906" s="2"/>
      <c r="L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 spans="11:33" ht="12.5" x14ac:dyDescent="0.25">
      <c r="K907" s="2"/>
      <c r="L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 spans="11:33" ht="12.5" x14ac:dyDescent="0.25">
      <c r="K908" s="2"/>
      <c r="L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 spans="11:33" ht="12.5" x14ac:dyDescent="0.25">
      <c r="K909" s="2"/>
      <c r="L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 spans="11:33" ht="12.5" x14ac:dyDescent="0.25">
      <c r="K910" s="2"/>
      <c r="L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 spans="11:33" ht="12.5" x14ac:dyDescent="0.25">
      <c r="K911" s="2"/>
      <c r="L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 spans="11:33" ht="12.5" x14ac:dyDescent="0.25">
      <c r="K912" s="2"/>
      <c r="L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 spans="11:33" ht="12.5" x14ac:dyDescent="0.25">
      <c r="K913" s="2"/>
      <c r="L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spans="11:33" ht="12.5" x14ac:dyDescent="0.25">
      <c r="K914" s="2"/>
      <c r="L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 spans="11:33" ht="12.5" x14ac:dyDescent="0.25">
      <c r="K915" s="2"/>
      <c r="L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 spans="11:33" ht="12.5" x14ac:dyDescent="0.25">
      <c r="K916" s="2"/>
      <c r="L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 spans="11:33" ht="12.5" x14ac:dyDescent="0.25">
      <c r="K917" s="2"/>
      <c r="L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 spans="11:33" ht="12.5" x14ac:dyDescent="0.25">
      <c r="K918" s="2"/>
      <c r="L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 spans="11:33" ht="12.5" x14ac:dyDescent="0.25">
      <c r="K919" s="2"/>
      <c r="L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 spans="11:33" ht="12.5" x14ac:dyDescent="0.25">
      <c r="K920" s="2"/>
      <c r="L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 spans="11:33" ht="12.5" x14ac:dyDescent="0.25">
      <c r="K921" s="2"/>
      <c r="L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 spans="11:33" ht="12.5" x14ac:dyDescent="0.25">
      <c r="K922" s="2"/>
      <c r="L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 spans="11:33" ht="12.5" x14ac:dyDescent="0.25">
      <c r="K923" s="2"/>
      <c r="L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 spans="11:33" ht="12.5" x14ac:dyDescent="0.25">
      <c r="K924" s="2"/>
      <c r="L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 spans="11:33" ht="12.5" x14ac:dyDescent="0.25">
      <c r="K925" s="2"/>
      <c r="L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 spans="11:33" ht="12.5" x14ac:dyDescent="0.25">
      <c r="K926" s="2"/>
      <c r="L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 spans="11:33" ht="12.5" x14ac:dyDescent="0.25">
      <c r="K927" s="2"/>
      <c r="L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 spans="11:33" ht="12.5" x14ac:dyDescent="0.25">
      <c r="K928" s="2"/>
      <c r="L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spans="11:33" ht="12.5" x14ac:dyDescent="0.25">
      <c r="K929" s="2"/>
      <c r="L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 spans="11:33" ht="12.5" x14ac:dyDescent="0.25">
      <c r="K930" s="2"/>
      <c r="L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 spans="11:33" ht="12.5" x14ac:dyDescent="0.25">
      <c r="K931" s="2"/>
      <c r="L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 spans="11:33" ht="12.5" x14ac:dyDescent="0.25">
      <c r="K932" s="2"/>
      <c r="L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 spans="11:33" ht="12.5" x14ac:dyDescent="0.25">
      <c r="K933" s="2"/>
      <c r="L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 spans="11:33" ht="12.5" x14ac:dyDescent="0.25">
      <c r="K934" s="2"/>
      <c r="L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 spans="11:33" ht="12.5" x14ac:dyDescent="0.25">
      <c r="K935" s="2"/>
      <c r="L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 spans="11:33" ht="12.5" x14ac:dyDescent="0.25">
      <c r="K936" s="2"/>
      <c r="L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 spans="11:33" ht="12.5" x14ac:dyDescent="0.25">
      <c r="K937" s="2"/>
      <c r="L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 spans="11:33" ht="12.5" x14ac:dyDescent="0.25">
      <c r="K938" s="2"/>
      <c r="L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 spans="11:33" ht="12.5" x14ac:dyDescent="0.25">
      <c r="K939" s="2"/>
      <c r="L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spans="11:33" ht="12.5" x14ac:dyDescent="0.25">
      <c r="K940" s="2"/>
      <c r="L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 spans="11:33" ht="12.5" x14ac:dyDescent="0.25">
      <c r="K941" s="2"/>
      <c r="L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 spans="11:33" ht="12.5" x14ac:dyDescent="0.25">
      <c r="K942" s="2"/>
      <c r="L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 spans="11:33" ht="12.5" x14ac:dyDescent="0.25">
      <c r="K943" s="2"/>
      <c r="L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 spans="11:33" ht="12.5" x14ac:dyDescent="0.25">
      <c r="K944" s="2"/>
      <c r="L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 spans="11:33" ht="12.5" x14ac:dyDescent="0.25">
      <c r="K945" s="2"/>
      <c r="L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 spans="11:33" ht="12.5" x14ac:dyDescent="0.25">
      <c r="K946" s="2"/>
      <c r="L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 spans="11:33" ht="12.5" x14ac:dyDescent="0.25">
      <c r="K947" s="2"/>
      <c r="L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 spans="11:33" ht="12.5" x14ac:dyDescent="0.25">
      <c r="K948" s="2"/>
      <c r="L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 spans="11:33" ht="12.5" x14ac:dyDescent="0.25">
      <c r="K949" s="2"/>
      <c r="L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 spans="11:33" ht="12.5" x14ac:dyDescent="0.25">
      <c r="K950" s="2"/>
      <c r="L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 spans="11:33" ht="12.5" x14ac:dyDescent="0.25">
      <c r="K951" s="2"/>
      <c r="L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 spans="11:33" ht="12.5" x14ac:dyDescent="0.25">
      <c r="K952" s="2"/>
      <c r="L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 spans="11:33" ht="12.5" x14ac:dyDescent="0.25">
      <c r="K953" s="2"/>
      <c r="L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 spans="11:33" ht="12.5" x14ac:dyDescent="0.25">
      <c r="K954" s="2"/>
      <c r="L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 spans="11:33" ht="12.5" x14ac:dyDescent="0.25">
      <c r="K955" s="2"/>
      <c r="L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 spans="11:33" ht="12.5" x14ac:dyDescent="0.25">
      <c r="K956" s="2"/>
      <c r="L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 spans="11:33" ht="12.5" x14ac:dyDescent="0.25">
      <c r="K957" s="2"/>
      <c r="L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 spans="11:33" ht="12.5" x14ac:dyDescent="0.25">
      <c r="K958" s="2"/>
      <c r="L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 spans="11:33" ht="12.5" x14ac:dyDescent="0.25">
      <c r="K959" s="2"/>
      <c r="L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 spans="11:33" ht="12.5" x14ac:dyDescent="0.25">
      <c r="K960" s="2"/>
      <c r="L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 spans="11:33" ht="12.5" x14ac:dyDescent="0.25">
      <c r="K961" s="2"/>
      <c r="L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 spans="11:33" ht="12.5" x14ac:dyDescent="0.25">
      <c r="K962" s="2"/>
      <c r="L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 spans="11:33" ht="12.5" x14ac:dyDescent="0.25">
      <c r="K963" s="2"/>
      <c r="L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 spans="11:33" ht="12.5" x14ac:dyDescent="0.25">
      <c r="K964" s="2"/>
      <c r="L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 spans="11:33" ht="12.5" x14ac:dyDescent="0.25">
      <c r="K965" s="2"/>
      <c r="L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 spans="11:33" ht="12.5" x14ac:dyDescent="0.25">
      <c r="K966" s="2"/>
      <c r="L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spans="11:33" ht="12.5" x14ac:dyDescent="0.25">
      <c r="K967" s="2"/>
      <c r="L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spans="11:33" ht="12.5" x14ac:dyDescent="0.25">
      <c r="K968" s="2"/>
      <c r="L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 spans="11:33" ht="12.5" x14ac:dyDescent="0.25">
      <c r="K969" s="2"/>
      <c r="L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 spans="11:33" ht="12.5" x14ac:dyDescent="0.25">
      <c r="K970" s="2"/>
      <c r="L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spans="11:33" ht="12.5" x14ac:dyDescent="0.25">
      <c r="K971" s="2"/>
      <c r="L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 spans="11:33" ht="12.5" x14ac:dyDescent="0.25">
      <c r="K972" s="2"/>
      <c r="L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 spans="11:33" ht="12.5" x14ac:dyDescent="0.25">
      <c r="K973" s="2"/>
      <c r="L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 spans="11:33" ht="12.5" x14ac:dyDescent="0.25">
      <c r="K974" s="2"/>
      <c r="L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 spans="11:33" ht="12.5" x14ac:dyDescent="0.25">
      <c r="K975" s="2"/>
      <c r="L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 spans="11:33" ht="12.5" x14ac:dyDescent="0.25">
      <c r="K976" s="2"/>
      <c r="L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spans="11:33" ht="12.5" x14ac:dyDescent="0.25">
      <c r="K977" s="2"/>
      <c r="L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 spans="11:33" ht="12.5" x14ac:dyDescent="0.25">
      <c r="K978" s="2"/>
      <c r="L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 spans="11:33" ht="12.5" x14ac:dyDescent="0.25">
      <c r="K979" s="2"/>
      <c r="L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 spans="11:33" ht="12.5" x14ac:dyDescent="0.25">
      <c r="K980" s="2"/>
      <c r="L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 spans="11:33" ht="12.5" x14ac:dyDescent="0.25">
      <c r="K981" s="2"/>
      <c r="L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 spans="11:33" ht="12.5" x14ac:dyDescent="0.25">
      <c r="K982" s="2"/>
      <c r="L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 spans="11:33" ht="12.5" x14ac:dyDescent="0.25">
      <c r="K983" s="2"/>
      <c r="L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 spans="11:33" ht="12.5" x14ac:dyDescent="0.25">
      <c r="K984" s="2"/>
      <c r="L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 spans="11:33" ht="12.5" x14ac:dyDescent="0.25">
      <c r="K985" s="2"/>
      <c r="L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 spans="11:33" ht="12.5" x14ac:dyDescent="0.25">
      <c r="K986" s="2"/>
      <c r="L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 spans="11:33" ht="12.5" x14ac:dyDescent="0.25">
      <c r="K987" s="2"/>
      <c r="L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 spans="11:33" ht="12.5" x14ac:dyDescent="0.25">
      <c r="K988" s="2"/>
      <c r="L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 spans="11:33" ht="12.5" x14ac:dyDescent="0.25">
      <c r="K989" s="2"/>
      <c r="L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 spans="11:33" ht="12.5" x14ac:dyDescent="0.25">
      <c r="K990" s="2"/>
      <c r="L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 spans="11:33" ht="12.5" x14ac:dyDescent="0.25">
      <c r="K991" s="2"/>
      <c r="L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 spans="11:33" ht="12.5" x14ac:dyDescent="0.25">
      <c r="K992" s="2"/>
      <c r="L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 spans="11:33" ht="12.5" x14ac:dyDescent="0.25">
      <c r="K993" s="2"/>
      <c r="L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 spans="11:33" ht="12.5" x14ac:dyDescent="0.25">
      <c r="K994" s="2"/>
      <c r="L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 spans="11:33" ht="12.5" x14ac:dyDescent="0.25">
      <c r="K995" s="2"/>
      <c r="L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 spans="11:33" ht="12.5" x14ac:dyDescent="0.25">
      <c r="K996" s="2"/>
      <c r="L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 spans="11:33" ht="12.5" x14ac:dyDescent="0.25">
      <c r="K997" s="2"/>
      <c r="L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 spans="11:33" ht="12.5" x14ac:dyDescent="0.25">
      <c r="K998" s="2"/>
      <c r="L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 spans="11:33" ht="12.5" x14ac:dyDescent="0.25">
      <c r="K999" s="2"/>
      <c r="L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 spans="11:33" ht="12.5" x14ac:dyDescent="0.25">
      <c r="K1000" s="2"/>
      <c r="L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H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4296875" defaultRowHeight="15.75" customHeight="1" x14ac:dyDescent="0.25"/>
  <cols>
    <col min="1" max="1" width="16" customWidth="1"/>
    <col min="3" max="3" width="13.54296875" customWidth="1"/>
  </cols>
  <sheetData>
    <row r="1" spans="1:34" ht="15.75" customHeight="1" x14ac:dyDescent="0.3">
      <c r="A1" s="1" t="s">
        <v>120</v>
      </c>
      <c r="B1" s="1" t="s">
        <v>121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22</v>
      </c>
      <c r="W1" s="1" t="s">
        <v>137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ht="15.75" customHeight="1" x14ac:dyDescent="0.25">
      <c r="A2" s="2" t="s">
        <v>91</v>
      </c>
      <c r="B2" s="2">
        <v>2014</v>
      </c>
      <c r="C2" s="2" t="s">
        <v>92</v>
      </c>
      <c r="D2" s="2" t="s">
        <v>42</v>
      </c>
      <c r="E2" s="2" t="s">
        <v>93</v>
      </c>
      <c r="F2" s="2" t="s">
        <v>138</v>
      </c>
      <c r="G2" s="2" t="s">
        <v>95</v>
      </c>
      <c r="H2" s="2" t="s">
        <v>96</v>
      </c>
      <c r="I2" s="2">
        <v>43</v>
      </c>
      <c r="J2" s="2" t="s">
        <v>97</v>
      </c>
      <c r="K2" s="2">
        <v>194</v>
      </c>
      <c r="L2" s="2">
        <v>388</v>
      </c>
      <c r="M2" s="2">
        <v>30</v>
      </c>
      <c r="N2" s="2">
        <v>552</v>
      </c>
      <c r="O2" s="2">
        <v>582</v>
      </c>
      <c r="P2" s="3"/>
      <c r="Q2" s="3"/>
      <c r="R2" s="2" t="s">
        <v>30</v>
      </c>
      <c r="S2" s="2">
        <v>0.37</v>
      </c>
      <c r="T2" s="2">
        <v>0.24</v>
      </c>
      <c r="U2" s="2">
        <v>1</v>
      </c>
      <c r="V2" s="5" t="s">
        <v>139</v>
      </c>
      <c r="W2" s="5">
        <v>7</v>
      </c>
    </row>
    <row r="3" spans="1:34" ht="15.75" customHeight="1" x14ac:dyDescent="0.25">
      <c r="A3" s="5" t="s">
        <v>74</v>
      </c>
      <c r="B3" s="5">
        <v>2022</v>
      </c>
      <c r="C3" s="5" t="s">
        <v>140</v>
      </c>
      <c r="D3" s="5" t="s">
        <v>65</v>
      </c>
      <c r="E3" s="5" t="s">
        <v>141</v>
      </c>
      <c r="F3" s="5" t="s">
        <v>142</v>
      </c>
      <c r="G3" s="5" t="s">
        <v>113</v>
      </c>
      <c r="H3" s="5" t="s">
        <v>78</v>
      </c>
      <c r="I3" s="5">
        <v>9</v>
      </c>
      <c r="J3" s="5" t="s">
        <v>143</v>
      </c>
      <c r="K3" s="5">
        <v>25889</v>
      </c>
      <c r="L3" s="5">
        <v>32080</v>
      </c>
      <c r="O3" s="5">
        <v>57969</v>
      </c>
      <c r="P3" s="5">
        <v>38.200000000000003</v>
      </c>
      <c r="Q3" s="5">
        <v>40.200000000000003</v>
      </c>
      <c r="R3" s="9"/>
      <c r="S3" s="9"/>
      <c r="T3" s="9"/>
      <c r="U3" s="9"/>
      <c r="V3" s="5" t="s">
        <v>117</v>
      </c>
    </row>
    <row r="4" spans="1:34" ht="15.75" customHeight="1" x14ac:dyDescent="0.25">
      <c r="A4" s="5" t="s">
        <v>109</v>
      </c>
      <c r="B4" s="5">
        <v>2021</v>
      </c>
      <c r="C4" s="5" t="s">
        <v>110</v>
      </c>
      <c r="D4" s="5" t="s">
        <v>42</v>
      </c>
      <c r="E4" s="5" t="s">
        <v>43</v>
      </c>
      <c r="F4" s="5" t="s">
        <v>112</v>
      </c>
      <c r="G4" s="5" t="s">
        <v>113</v>
      </c>
      <c r="I4" s="5">
        <v>12</v>
      </c>
      <c r="J4" s="5" t="s">
        <v>116</v>
      </c>
      <c r="K4" s="9"/>
      <c r="L4" s="9"/>
      <c r="M4" s="10">
        <v>18961</v>
      </c>
      <c r="N4" s="10">
        <v>23686</v>
      </c>
      <c r="O4" s="10">
        <v>42647</v>
      </c>
      <c r="P4" s="5">
        <v>32</v>
      </c>
      <c r="Q4" s="5">
        <v>33</v>
      </c>
      <c r="R4" s="5" t="s">
        <v>59</v>
      </c>
      <c r="S4" s="5">
        <v>0.76</v>
      </c>
      <c r="T4" s="5">
        <v>0.39</v>
      </c>
      <c r="U4" s="5">
        <v>1.47</v>
      </c>
      <c r="V4" s="5" t="s">
        <v>117</v>
      </c>
      <c r="W4" s="5">
        <v>7</v>
      </c>
    </row>
    <row r="5" spans="1:34" ht="15.75" customHeight="1" x14ac:dyDescent="0.25">
      <c r="A5" s="5" t="s">
        <v>40</v>
      </c>
      <c r="B5" s="5">
        <v>2023</v>
      </c>
      <c r="C5" s="5" t="s">
        <v>41</v>
      </c>
      <c r="D5" s="5" t="s">
        <v>42</v>
      </c>
      <c r="E5" s="5" t="s">
        <v>43</v>
      </c>
      <c r="F5" s="5" t="s">
        <v>144</v>
      </c>
      <c r="G5" s="5" t="s">
        <v>45</v>
      </c>
      <c r="H5" s="5" t="s">
        <v>46</v>
      </c>
      <c r="I5" s="5">
        <v>37</v>
      </c>
      <c r="J5" s="5" t="s">
        <v>47</v>
      </c>
      <c r="K5" s="10">
        <v>16822</v>
      </c>
      <c r="L5" s="10">
        <v>672880</v>
      </c>
      <c r="M5" s="5">
        <v>7618</v>
      </c>
      <c r="N5" s="10">
        <v>682084</v>
      </c>
      <c r="O5" s="10">
        <v>689702</v>
      </c>
      <c r="R5" s="5" t="s">
        <v>145</v>
      </c>
      <c r="S5" s="5">
        <v>0.73</v>
      </c>
      <c r="T5" s="5">
        <v>0.6</v>
      </c>
      <c r="U5" s="5">
        <v>0.87</v>
      </c>
      <c r="V5" s="5" t="s">
        <v>49</v>
      </c>
    </row>
    <row r="6" spans="1:34" ht="15.75" customHeight="1" x14ac:dyDescent="0.25">
      <c r="R6" s="5" t="s">
        <v>146</v>
      </c>
      <c r="S6" s="5">
        <v>0.46</v>
      </c>
      <c r="T6" s="5">
        <v>0.31</v>
      </c>
      <c r="U6" s="5">
        <v>0.67</v>
      </c>
    </row>
    <row r="7" spans="1:34" ht="15.75" customHeight="1" x14ac:dyDescent="0.25">
      <c r="A7" s="5" t="s">
        <v>23</v>
      </c>
      <c r="B7" s="5">
        <v>2018</v>
      </c>
      <c r="C7" s="5" t="s">
        <v>147</v>
      </c>
      <c r="D7" s="5" t="s">
        <v>42</v>
      </c>
      <c r="E7" s="5" t="s">
        <v>26</v>
      </c>
      <c r="F7" s="5" t="s">
        <v>138</v>
      </c>
      <c r="G7" s="5" t="s">
        <v>148</v>
      </c>
      <c r="H7" s="9"/>
      <c r="I7" s="5">
        <v>17</v>
      </c>
      <c r="J7" s="5" t="s">
        <v>149</v>
      </c>
      <c r="K7" s="5">
        <v>198</v>
      </c>
      <c r="L7" s="5">
        <v>389</v>
      </c>
      <c r="M7" s="5">
        <v>434</v>
      </c>
      <c r="N7" s="5">
        <v>150</v>
      </c>
      <c r="O7" s="5">
        <v>587</v>
      </c>
      <c r="R7" s="5" t="s">
        <v>30</v>
      </c>
      <c r="S7" s="5">
        <v>1.75</v>
      </c>
      <c r="T7" s="5">
        <v>1.194</v>
      </c>
      <c r="U7" s="11">
        <v>2.5640000000000001</v>
      </c>
      <c r="V7" s="5" t="s">
        <v>117</v>
      </c>
    </row>
    <row r="8" spans="1:34" ht="15.75" customHeight="1" x14ac:dyDescent="0.25">
      <c r="A8" s="5" t="s">
        <v>63</v>
      </c>
      <c r="B8" s="5">
        <v>2023</v>
      </c>
      <c r="C8" s="5" t="s">
        <v>64</v>
      </c>
      <c r="D8" s="5" t="s">
        <v>65</v>
      </c>
      <c r="E8" s="5" t="s">
        <v>66</v>
      </c>
      <c r="F8" s="5" t="s">
        <v>150</v>
      </c>
      <c r="G8" s="5" t="s">
        <v>151</v>
      </c>
      <c r="H8" s="5" t="s">
        <v>69</v>
      </c>
      <c r="J8" s="5" t="s">
        <v>71</v>
      </c>
      <c r="K8" s="9"/>
      <c r="L8" s="9"/>
      <c r="M8" s="10">
        <v>32879</v>
      </c>
      <c r="N8" s="10">
        <v>98637</v>
      </c>
      <c r="O8" s="5">
        <v>131516</v>
      </c>
      <c r="Q8" s="5">
        <v>42</v>
      </c>
      <c r="R8" s="5" t="s">
        <v>30</v>
      </c>
      <c r="S8" s="5">
        <v>0.82</v>
      </c>
      <c r="T8" s="5">
        <v>0.55000000000000004</v>
      </c>
      <c r="U8" s="5">
        <v>1.21</v>
      </c>
      <c r="V8" s="9"/>
    </row>
    <row r="9" spans="1:34" ht="15.75" customHeight="1" x14ac:dyDescent="0.25">
      <c r="A9" s="5" t="s">
        <v>51</v>
      </c>
      <c r="B9" s="5">
        <v>2015</v>
      </c>
      <c r="C9" s="5" t="s">
        <v>33</v>
      </c>
      <c r="D9" s="5" t="s">
        <v>65</v>
      </c>
      <c r="E9" s="5" t="s">
        <v>26</v>
      </c>
      <c r="F9" s="5" t="s">
        <v>152</v>
      </c>
      <c r="G9" s="5" t="s">
        <v>153</v>
      </c>
      <c r="H9" s="5" t="s">
        <v>54</v>
      </c>
      <c r="I9" s="5">
        <v>18</v>
      </c>
      <c r="J9" s="9"/>
      <c r="K9" s="9"/>
      <c r="L9" s="9"/>
      <c r="M9" s="10">
        <v>34433</v>
      </c>
      <c r="N9" s="5">
        <v>5414686</v>
      </c>
      <c r="O9" s="10">
        <v>5449119</v>
      </c>
      <c r="P9" s="9"/>
      <c r="Q9" s="5">
        <v>35.700000000000003</v>
      </c>
      <c r="R9" s="5" t="s">
        <v>59</v>
      </c>
      <c r="S9" s="5">
        <v>0.65</v>
      </c>
      <c r="T9" s="5">
        <v>0.52</v>
      </c>
      <c r="U9" s="5">
        <v>0.81</v>
      </c>
      <c r="V9" s="5" t="s">
        <v>154</v>
      </c>
    </row>
  </sheetData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H1000"/>
  <sheetViews>
    <sheetView topLeftCell="I1" workbookViewId="0">
      <pane ySplit="1" topLeftCell="A3" activePane="bottomLeft" state="frozen"/>
      <selection pane="bottomLeft" activeCell="T9" sqref="T9"/>
    </sheetView>
  </sheetViews>
  <sheetFormatPr defaultColWidth="12.54296875" defaultRowHeight="15.75" customHeight="1" x14ac:dyDescent="0.25"/>
  <cols>
    <col min="1" max="1" width="15.81640625" style="2" customWidth="1"/>
    <col min="2" max="4" width="12.54296875" style="2"/>
    <col min="5" max="5" width="18" style="2" customWidth="1"/>
    <col min="7" max="8" width="12.54296875" style="2"/>
    <col min="11" max="12" width="12.54296875" style="2"/>
    <col min="15" max="17" width="12.54296875" style="2"/>
    <col min="18" max="18" width="13.453125" style="2" customWidth="1"/>
    <col min="19" max="21" width="12.54296875" style="2"/>
    <col min="22" max="22" width="29.54296875" style="2" customWidth="1"/>
    <col min="23" max="23" width="23.453125" customWidth="1"/>
  </cols>
  <sheetData>
    <row r="1" spans="1:34" ht="15.75" customHeight="1" x14ac:dyDescent="0.3">
      <c r="A1" s="1" t="s">
        <v>120</v>
      </c>
      <c r="B1" s="1" t="s">
        <v>121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22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ht="15.75" customHeight="1" x14ac:dyDescent="0.25">
      <c r="A2" s="2" t="s">
        <v>155</v>
      </c>
      <c r="B2" s="2">
        <v>2014</v>
      </c>
      <c r="C2" s="2" t="s">
        <v>92</v>
      </c>
      <c r="D2" s="2" t="s">
        <v>156</v>
      </c>
      <c r="E2" s="2" t="s">
        <v>157</v>
      </c>
      <c r="F2" s="2" t="s">
        <v>158</v>
      </c>
      <c r="G2" s="2" t="s">
        <v>159</v>
      </c>
      <c r="H2" s="2" t="s">
        <v>160</v>
      </c>
      <c r="I2" s="3"/>
      <c r="J2" s="5" t="s">
        <v>80</v>
      </c>
      <c r="K2" s="3">
        <v>194</v>
      </c>
      <c r="L2" s="2">
        <v>388</v>
      </c>
      <c r="M2" s="2">
        <v>60</v>
      </c>
      <c r="N2" s="2">
        <v>476</v>
      </c>
      <c r="O2" s="2">
        <v>582</v>
      </c>
      <c r="P2" s="2">
        <v>61.4</v>
      </c>
      <c r="Q2" s="2">
        <v>61.4</v>
      </c>
      <c r="R2" s="2" t="s">
        <v>30</v>
      </c>
      <c r="S2" s="2" t="s">
        <v>161</v>
      </c>
      <c r="T2" s="2" t="s">
        <v>162</v>
      </c>
      <c r="U2" s="2" t="s">
        <v>163</v>
      </c>
      <c r="V2" s="2" t="s">
        <v>164</v>
      </c>
      <c r="W2" s="2"/>
      <c r="X2" s="2"/>
      <c r="Y2" s="2"/>
      <c r="Z2" s="2"/>
      <c r="AA2" s="2"/>
      <c r="AB2" s="2"/>
      <c r="AC2" s="2"/>
      <c r="AD2" s="2"/>
      <c r="AE2" s="2"/>
    </row>
    <row r="3" spans="1:34" ht="15.75" customHeight="1" x14ac:dyDescent="0.25">
      <c r="A3" s="2" t="s">
        <v>165</v>
      </c>
      <c r="B3" s="2">
        <v>2021</v>
      </c>
      <c r="C3" s="2" t="s">
        <v>33</v>
      </c>
      <c r="D3" s="2" t="s">
        <v>166</v>
      </c>
      <c r="E3" s="2" t="s">
        <v>167</v>
      </c>
      <c r="F3" s="2" t="s">
        <v>168</v>
      </c>
      <c r="G3" s="2" t="s">
        <v>45</v>
      </c>
      <c r="H3" s="2" t="s">
        <v>53</v>
      </c>
      <c r="I3" s="2" t="s">
        <v>169</v>
      </c>
      <c r="J3" s="2" t="s">
        <v>170</v>
      </c>
      <c r="K3" s="2">
        <v>12448</v>
      </c>
      <c r="L3" s="2">
        <v>5441621</v>
      </c>
      <c r="M3" s="4">
        <v>24895</v>
      </c>
      <c r="N3" s="2">
        <v>5429174</v>
      </c>
      <c r="O3" s="4">
        <v>5454069</v>
      </c>
      <c r="P3" s="2">
        <v>35.9</v>
      </c>
      <c r="R3" s="2" t="s">
        <v>59</v>
      </c>
      <c r="S3" s="2">
        <v>0.72</v>
      </c>
      <c r="T3" s="2">
        <v>0.56000000000000005</v>
      </c>
      <c r="U3" s="2">
        <v>0.93</v>
      </c>
      <c r="V3" s="2" t="s">
        <v>171</v>
      </c>
      <c r="W3" s="2"/>
      <c r="X3" s="2"/>
      <c r="Y3" s="2"/>
      <c r="Z3" s="2"/>
      <c r="AA3" s="2"/>
      <c r="AB3" s="2"/>
      <c r="AC3" s="2"/>
      <c r="AD3" s="2"/>
      <c r="AE3" s="2"/>
    </row>
    <row r="4" spans="1:34" ht="15.75" customHeight="1" x14ac:dyDescent="0.25">
      <c r="A4" s="5" t="s">
        <v>172</v>
      </c>
      <c r="B4" s="2">
        <v>2020</v>
      </c>
      <c r="C4" s="2" t="s">
        <v>110</v>
      </c>
      <c r="D4" s="2" t="s">
        <v>166</v>
      </c>
      <c r="E4" s="2" t="s">
        <v>167</v>
      </c>
      <c r="F4" s="2" t="s">
        <v>173</v>
      </c>
      <c r="G4" s="2" t="s">
        <v>45</v>
      </c>
      <c r="H4" s="2" t="s">
        <v>160</v>
      </c>
      <c r="I4" s="3"/>
      <c r="J4" s="2" t="s">
        <v>170</v>
      </c>
      <c r="K4" s="2">
        <v>38</v>
      </c>
      <c r="L4" s="2">
        <v>42609</v>
      </c>
      <c r="M4" s="2">
        <v>18961</v>
      </c>
      <c r="N4" s="2">
        <v>23686</v>
      </c>
      <c r="O4" s="2">
        <v>42647</v>
      </c>
      <c r="P4" s="2">
        <v>32</v>
      </c>
      <c r="Q4" s="2">
        <v>33</v>
      </c>
      <c r="R4" s="2" t="s">
        <v>59</v>
      </c>
      <c r="S4" s="2">
        <v>0.76</v>
      </c>
      <c r="T4" s="2">
        <v>0.39</v>
      </c>
      <c r="U4" s="2">
        <v>1.47</v>
      </c>
      <c r="V4" s="2" t="s">
        <v>117</v>
      </c>
      <c r="W4" s="2" t="s">
        <v>118</v>
      </c>
      <c r="X4" s="2"/>
      <c r="Y4" s="2"/>
      <c r="Z4" s="2"/>
      <c r="AA4" s="2"/>
      <c r="AB4" s="2"/>
      <c r="AC4" s="2"/>
      <c r="AD4" s="2"/>
      <c r="AE4" s="2"/>
    </row>
    <row r="5" spans="1:34" ht="15.75" customHeight="1" x14ac:dyDescent="0.25">
      <c r="A5" s="2" t="s">
        <v>32</v>
      </c>
      <c r="B5" s="2">
        <v>2021</v>
      </c>
      <c r="C5" s="2" t="s">
        <v>33</v>
      </c>
      <c r="D5" s="2" t="s">
        <v>42</v>
      </c>
      <c r="E5" s="2" t="s">
        <v>167</v>
      </c>
      <c r="F5" s="2" t="s">
        <v>174</v>
      </c>
      <c r="G5" s="2" t="s">
        <v>45</v>
      </c>
      <c r="H5" s="2" t="s">
        <v>175</v>
      </c>
      <c r="I5" s="3"/>
      <c r="J5" s="2" t="s">
        <v>149</v>
      </c>
      <c r="K5" s="2">
        <v>4040</v>
      </c>
      <c r="L5" s="2">
        <v>39100</v>
      </c>
      <c r="M5" s="2">
        <v>922</v>
      </c>
      <c r="N5" s="2">
        <v>42218</v>
      </c>
      <c r="O5" s="2">
        <v>43140</v>
      </c>
      <c r="R5" s="2" t="s">
        <v>30</v>
      </c>
      <c r="S5" s="2" t="s">
        <v>176</v>
      </c>
      <c r="T5" s="2" t="s">
        <v>177</v>
      </c>
      <c r="U5" s="2" t="s">
        <v>178</v>
      </c>
      <c r="V5" s="2" t="s">
        <v>179</v>
      </c>
      <c r="W5" s="2" t="s">
        <v>180</v>
      </c>
      <c r="X5" s="2"/>
      <c r="Y5" s="2"/>
      <c r="Z5" s="2"/>
      <c r="AA5" s="2"/>
      <c r="AB5" s="2"/>
      <c r="AC5" s="2"/>
      <c r="AD5" s="2"/>
      <c r="AE5" s="2"/>
    </row>
    <row r="6" spans="1:34" ht="15.75" customHeight="1" x14ac:dyDescent="0.25">
      <c r="A6" s="3" t="s">
        <v>40</v>
      </c>
      <c r="B6" s="2">
        <v>2023</v>
      </c>
      <c r="C6" s="2" t="s">
        <v>41</v>
      </c>
      <c r="D6" s="2" t="s">
        <v>42</v>
      </c>
      <c r="E6" s="2" t="s">
        <v>181</v>
      </c>
      <c r="F6" s="2" t="s">
        <v>174</v>
      </c>
      <c r="G6" s="2" t="s">
        <v>45</v>
      </c>
      <c r="I6" s="3"/>
      <c r="J6" s="2" t="s">
        <v>149</v>
      </c>
      <c r="K6" s="10">
        <v>16822</v>
      </c>
      <c r="L6" s="2">
        <v>672880</v>
      </c>
      <c r="M6" s="3"/>
      <c r="N6" s="3"/>
      <c r="O6" s="2">
        <v>689762</v>
      </c>
      <c r="R6" s="2" t="s">
        <v>30</v>
      </c>
      <c r="S6" s="2" t="s">
        <v>182</v>
      </c>
      <c r="T6" s="2" t="s">
        <v>183</v>
      </c>
      <c r="U6" s="2" t="s">
        <v>184</v>
      </c>
      <c r="W6" s="2" t="s">
        <v>185</v>
      </c>
      <c r="X6" s="2"/>
      <c r="Y6" s="2"/>
      <c r="Z6" s="2"/>
      <c r="AA6" s="2"/>
      <c r="AB6" s="2"/>
      <c r="AC6" s="2"/>
      <c r="AD6" s="2"/>
      <c r="AE6" s="2"/>
    </row>
    <row r="7" spans="1:34" ht="15.75" customHeight="1" x14ac:dyDescent="0.25">
      <c r="A7" s="5" t="s">
        <v>63</v>
      </c>
      <c r="B7" s="2">
        <v>2023</v>
      </c>
      <c r="C7" s="2" t="s">
        <v>75</v>
      </c>
      <c r="D7" s="2" t="s">
        <v>166</v>
      </c>
      <c r="E7" s="2" t="s">
        <v>181</v>
      </c>
      <c r="F7" s="3"/>
      <c r="G7" s="2" t="s">
        <v>186</v>
      </c>
      <c r="I7" s="2" t="s">
        <v>187</v>
      </c>
      <c r="J7" s="3"/>
      <c r="K7" s="2">
        <v>148</v>
      </c>
      <c r="L7" s="2">
        <v>131368</v>
      </c>
      <c r="M7" s="2">
        <v>32879</v>
      </c>
      <c r="N7" s="2">
        <v>98637</v>
      </c>
      <c r="O7" s="2">
        <v>131516</v>
      </c>
      <c r="P7" s="2">
        <v>42.2</v>
      </c>
      <c r="Q7" s="2">
        <v>42.2</v>
      </c>
      <c r="R7" s="2" t="s">
        <v>59</v>
      </c>
      <c r="S7" s="2">
        <v>0.82</v>
      </c>
      <c r="T7" s="2">
        <v>0.55000000000000004</v>
      </c>
      <c r="U7" s="2">
        <v>1.21</v>
      </c>
      <c r="V7" s="2" t="s">
        <v>188</v>
      </c>
      <c r="W7" s="2"/>
      <c r="X7" s="2"/>
      <c r="Y7" s="2"/>
      <c r="Z7" s="2"/>
      <c r="AA7" s="2"/>
      <c r="AB7" s="2"/>
      <c r="AC7" s="2"/>
      <c r="AD7" s="2"/>
      <c r="AE7" s="2"/>
    </row>
    <row r="8" spans="1:34" ht="15.75" customHeight="1" x14ac:dyDescent="0.25">
      <c r="A8" s="2" t="s">
        <v>82</v>
      </c>
      <c r="B8" s="2">
        <v>2019</v>
      </c>
      <c r="C8" s="2" t="s">
        <v>83</v>
      </c>
      <c r="D8" s="2" t="s">
        <v>166</v>
      </c>
      <c r="E8" s="2" t="s">
        <v>189</v>
      </c>
      <c r="F8" s="2" t="s">
        <v>190</v>
      </c>
      <c r="G8" s="2" t="s">
        <v>45</v>
      </c>
      <c r="H8" s="2" t="s">
        <v>191</v>
      </c>
      <c r="I8" s="2" t="s">
        <v>192</v>
      </c>
      <c r="J8" s="3"/>
      <c r="K8" s="2">
        <v>73</v>
      </c>
      <c r="L8" s="2">
        <v>999081</v>
      </c>
      <c r="M8" s="4">
        <v>45410</v>
      </c>
      <c r="N8" s="4">
        <v>953744</v>
      </c>
      <c r="O8" s="2">
        <v>999154</v>
      </c>
      <c r="P8" s="2">
        <v>45.5</v>
      </c>
      <c r="Q8" s="2">
        <v>33</v>
      </c>
      <c r="R8" s="2" t="s">
        <v>59</v>
      </c>
      <c r="S8" s="2">
        <v>3.52</v>
      </c>
      <c r="T8" s="2">
        <v>0.89</v>
      </c>
      <c r="U8" s="2">
        <v>13.8</v>
      </c>
      <c r="V8" s="2" t="s">
        <v>193</v>
      </c>
      <c r="W8" s="2"/>
      <c r="X8" s="2"/>
      <c r="Y8" s="2"/>
      <c r="Z8" s="2"/>
      <c r="AA8" s="2"/>
      <c r="AB8" s="2"/>
      <c r="AC8" s="2"/>
      <c r="AD8" s="2"/>
      <c r="AE8" s="2"/>
    </row>
    <row r="9" spans="1:34" ht="15.75" customHeight="1" x14ac:dyDescent="0.25">
      <c r="A9" s="2" t="s">
        <v>100</v>
      </c>
      <c r="B9" s="2">
        <v>2014</v>
      </c>
      <c r="C9" s="2" t="s">
        <v>41</v>
      </c>
      <c r="D9" s="2" t="s">
        <v>42</v>
      </c>
      <c r="E9" s="2" t="s">
        <v>194</v>
      </c>
      <c r="F9" s="2" t="s">
        <v>173</v>
      </c>
      <c r="G9" s="2" t="s">
        <v>45</v>
      </c>
      <c r="H9" s="2" t="s">
        <v>104</v>
      </c>
      <c r="I9" s="2"/>
      <c r="J9" s="2" t="s">
        <v>195</v>
      </c>
      <c r="K9" s="2">
        <v>13135</v>
      </c>
      <c r="L9" s="2">
        <v>192896</v>
      </c>
      <c r="M9" s="2">
        <v>1899</v>
      </c>
      <c r="N9" s="2">
        <v>206031</v>
      </c>
      <c r="O9" s="2">
        <v>207930</v>
      </c>
      <c r="R9" s="2" t="s">
        <v>30</v>
      </c>
      <c r="S9" s="2" t="s">
        <v>196</v>
      </c>
      <c r="T9" s="2" t="s">
        <v>197</v>
      </c>
      <c r="U9" s="2" t="s">
        <v>198</v>
      </c>
      <c r="V9" s="2" t="s">
        <v>106</v>
      </c>
      <c r="W9" s="2"/>
      <c r="X9" s="2"/>
      <c r="Y9" s="2"/>
      <c r="Z9" s="2"/>
      <c r="AA9" s="2"/>
      <c r="AB9" s="2"/>
      <c r="AC9" s="2"/>
      <c r="AD9" s="2"/>
      <c r="AE9" s="2"/>
    </row>
    <row r="10" spans="1:34" ht="15.75" customHeight="1" x14ac:dyDescent="0.25">
      <c r="F10" s="2"/>
      <c r="I10" s="2"/>
      <c r="J10" s="2"/>
      <c r="M10" s="2"/>
      <c r="N10" s="2"/>
      <c r="W10" s="2"/>
      <c r="X10" s="2"/>
      <c r="Y10" s="2"/>
      <c r="Z10" s="2"/>
      <c r="AA10" s="2"/>
      <c r="AB10" s="2"/>
      <c r="AC10" s="2"/>
      <c r="AD10" s="2"/>
      <c r="AE10" s="2"/>
    </row>
    <row r="11" spans="1:34" ht="15.75" customHeight="1" x14ac:dyDescent="0.25">
      <c r="F11" s="2"/>
      <c r="I11" s="2"/>
      <c r="J11" s="2"/>
      <c r="M11" s="2"/>
      <c r="N11" s="2"/>
      <c r="W11" s="2"/>
      <c r="X11" s="2"/>
      <c r="Y11" s="2"/>
      <c r="Z11" s="2"/>
      <c r="AA11" s="2"/>
      <c r="AB11" s="2"/>
      <c r="AC11" s="2"/>
      <c r="AD11" s="2"/>
      <c r="AE11" s="2"/>
    </row>
    <row r="12" spans="1:34" ht="15.75" customHeight="1" x14ac:dyDescent="0.25">
      <c r="F12" s="2"/>
      <c r="I12" s="2"/>
      <c r="J12" s="2"/>
      <c r="M12" s="2"/>
      <c r="N12" s="2"/>
      <c r="W12" s="2"/>
      <c r="X12" s="2"/>
      <c r="Y12" s="2"/>
      <c r="Z12" s="2"/>
      <c r="AA12" s="2"/>
      <c r="AB12" s="2"/>
      <c r="AC12" s="2"/>
      <c r="AD12" s="2"/>
      <c r="AE12" s="2"/>
    </row>
    <row r="13" spans="1:34" ht="15.75" customHeight="1" x14ac:dyDescent="0.25">
      <c r="F13" s="2"/>
      <c r="I13" s="2"/>
      <c r="J13" s="2"/>
      <c r="M13" s="2"/>
      <c r="N13" s="2"/>
      <c r="W13" s="2"/>
      <c r="X13" s="2"/>
      <c r="Y13" s="2"/>
      <c r="Z13" s="2"/>
      <c r="AA13" s="2"/>
      <c r="AB13" s="2"/>
      <c r="AC13" s="2"/>
      <c r="AD13" s="2"/>
      <c r="AE13" s="2"/>
    </row>
    <row r="14" spans="1:34" ht="15.75" customHeight="1" x14ac:dyDescent="0.25">
      <c r="F14" s="2"/>
      <c r="I14" s="2"/>
      <c r="J14" s="2"/>
      <c r="M14" s="2"/>
      <c r="N14" s="2"/>
      <c r="W14" s="2"/>
      <c r="X14" s="2"/>
      <c r="Y14" s="2"/>
      <c r="Z14" s="2"/>
      <c r="AA14" s="2"/>
      <c r="AB14" s="2"/>
      <c r="AC14" s="2"/>
      <c r="AD14" s="2"/>
      <c r="AE14" s="2"/>
    </row>
    <row r="15" spans="1:34" ht="15.75" customHeight="1" x14ac:dyDescent="0.25">
      <c r="F15" s="2"/>
      <c r="I15" s="2"/>
      <c r="J15" s="2"/>
      <c r="M15" s="2"/>
      <c r="N15" s="2"/>
      <c r="W15" s="2"/>
      <c r="X15" s="2"/>
      <c r="Y15" s="2"/>
      <c r="Z15" s="2"/>
      <c r="AA15" s="2"/>
      <c r="AB15" s="2"/>
      <c r="AC15" s="2"/>
      <c r="AD15" s="2"/>
      <c r="AE15" s="2"/>
    </row>
    <row r="16" spans="1:34" ht="15.75" customHeight="1" x14ac:dyDescent="0.25">
      <c r="F16" s="2"/>
      <c r="I16" s="2"/>
      <c r="J16" s="2"/>
      <c r="M16" s="2"/>
      <c r="N16" s="2"/>
      <c r="W16" s="2"/>
      <c r="X16" s="2"/>
      <c r="Y16" s="2"/>
      <c r="Z16" s="2"/>
      <c r="AA16" s="2"/>
      <c r="AB16" s="2"/>
      <c r="AC16" s="2"/>
      <c r="AD16" s="2"/>
      <c r="AE16" s="2"/>
    </row>
    <row r="17" spans="6:31" ht="15.75" customHeight="1" x14ac:dyDescent="0.25">
      <c r="F17" s="2"/>
      <c r="I17" s="2"/>
      <c r="J17" s="2"/>
      <c r="M17" s="2"/>
      <c r="N17" s="2"/>
      <c r="W17" s="2"/>
      <c r="X17" s="2"/>
      <c r="Y17" s="2"/>
      <c r="Z17" s="2"/>
      <c r="AA17" s="2"/>
      <c r="AB17" s="2"/>
      <c r="AC17" s="2"/>
      <c r="AD17" s="2"/>
      <c r="AE17" s="2"/>
    </row>
    <row r="18" spans="6:31" ht="15.75" customHeight="1" x14ac:dyDescent="0.25">
      <c r="F18" s="2"/>
      <c r="I18" s="2"/>
      <c r="J18" s="2"/>
      <c r="M18" s="2"/>
      <c r="N18" s="2"/>
      <c r="W18" s="2"/>
      <c r="X18" s="2"/>
      <c r="Y18" s="2"/>
      <c r="Z18" s="2"/>
      <c r="AA18" s="2"/>
      <c r="AB18" s="2"/>
      <c r="AC18" s="2"/>
      <c r="AD18" s="2"/>
      <c r="AE18" s="2"/>
    </row>
    <row r="19" spans="6:31" ht="15.75" customHeight="1" x14ac:dyDescent="0.25">
      <c r="F19" s="2"/>
      <c r="I19" s="2"/>
      <c r="J19" s="2"/>
      <c r="M19" s="2"/>
      <c r="N19" s="2"/>
      <c r="W19" s="2"/>
      <c r="X19" s="2"/>
      <c r="Y19" s="2"/>
      <c r="Z19" s="2"/>
      <c r="AA19" s="2"/>
      <c r="AB19" s="2"/>
      <c r="AC19" s="2"/>
      <c r="AD19" s="2"/>
      <c r="AE19" s="2"/>
    </row>
    <row r="20" spans="6:31" ht="15.75" customHeight="1" x14ac:dyDescent="0.25">
      <c r="F20" s="2"/>
      <c r="I20" s="2"/>
      <c r="J20" s="2"/>
      <c r="M20" s="2"/>
      <c r="N20" s="2"/>
      <c r="W20" s="2"/>
      <c r="X20" s="2"/>
      <c r="Y20" s="2"/>
      <c r="Z20" s="2"/>
      <c r="AA20" s="2"/>
      <c r="AB20" s="2"/>
      <c r="AC20" s="2"/>
      <c r="AD20" s="2"/>
      <c r="AE20" s="2"/>
    </row>
    <row r="21" spans="6:31" ht="12.5" x14ac:dyDescent="0.25">
      <c r="F21" s="2"/>
      <c r="I21" s="2"/>
      <c r="J21" s="2"/>
      <c r="M21" s="2"/>
      <c r="N21" s="2"/>
      <c r="W21" s="2"/>
      <c r="X21" s="2"/>
      <c r="Y21" s="2"/>
      <c r="Z21" s="2"/>
      <c r="AA21" s="2"/>
      <c r="AB21" s="2"/>
      <c r="AC21" s="2"/>
      <c r="AD21" s="2"/>
      <c r="AE21" s="2"/>
    </row>
    <row r="22" spans="6:31" ht="12.5" x14ac:dyDescent="0.25">
      <c r="F22" s="2"/>
      <c r="I22" s="2"/>
      <c r="J22" s="2"/>
      <c r="M22" s="2"/>
      <c r="N22" s="2"/>
      <c r="W22" s="2"/>
      <c r="X22" s="2"/>
      <c r="Y22" s="2"/>
      <c r="Z22" s="2"/>
      <c r="AA22" s="2"/>
      <c r="AB22" s="2"/>
      <c r="AC22" s="2"/>
      <c r="AD22" s="2"/>
      <c r="AE22" s="2"/>
    </row>
    <row r="23" spans="6:31" ht="12.5" x14ac:dyDescent="0.25">
      <c r="F23" s="2"/>
      <c r="I23" s="2"/>
      <c r="J23" s="2"/>
      <c r="M23" s="2"/>
      <c r="N23" s="2"/>
      <c r="W23" s="2"/>
      <c r="X23" s="2"/>
      <c r="Y23" s="2"/>
      <c r="Z23" s="2"/>
      <c r="AA23" s="2"/>
      <c r="AB23" s="2"/>
      <c r="AC23" s="2"/>
      <c r="AD23" s="2"/>
      <c r="AE23" s="2"/>
    </row>
    <row r="24" spans="6:31" ht="12.5" x14ac:dyDescent="0.25">
      <c r="F24" s="2"/>
      <c r="I24" s="2"/>
      <c r="J24" s="2"/>
      <c r="M24" s="2"/>
      <c r="N24" s="2"/>
      <c r="W24" s="2"/>
      <c r="X24" s="2"/>
      <c r="Y24" s="2"/>
      <c r="Z24" s="2"/>
      <c r="AA24" s="2"/>
      <c r="AB24" s="2"/>
      <c r="AC24" s="2"/>
      <c r="AD24" s="2"/>
      <c r="AE24" s="2"/>
    </row>
    <row r="25" spans="6:31" ht="12.5" x14ac:dyDescent="0.25">
      <c r="F25" s="2"/>
      <c r="I25" s="2"/>
      <c r="J25" s="2"/>
      <c r="M25" s="2"/>
      <c r="N25" s="2"/>
      <c r="W25" s="2"/>
      <c r="X25" s="2"/>
      <c r="Y25" s="2"/>
      <c r="Z25" s="2"/>
      <c r="AA25" s="2"/>
      <c r="AB25" s="2"/>
      <c r="AC25" s="2"/>
      <c r="AD25" s="2"/>
      <c r="AE25" s="2"/>
    </row>
    <row r="26" spans="6:31" ht="12.5" x14ac:dyDescent="0.25">
      <c r="F26" s="2"/>
      <c r="I26" s="2"/>
      <c r="J26" s="2"/>
      <c r="M26" s="2"/>
      <c r="N26" s="2"/>
      <c r="W26" s="2"/>
      <c r="X26" s="2"/>
      <c r="Y26" s="2"/>
      <c r="Z26" s="2"/>
      <c r="AA26" s="2"/>
      <c r="AB26" s="2"/>
      <c r="AC26" s="2"/>
      <c r="AD26" s="2"/>
      <c r="AE26" s="2"/>
    </row>
    <row r="27" spans="6:31" ht="12.5" x14ac:dyDescent="0.25">
      <c r="F27" s="2"/>
      <c r="I27" s="2"/>
      <c r="J27" s="2"/>
      <c r="M27" s="2"/>
      <c r="N27" s="2"/>
      <c r="W27" s="2"/>
      <c r="X27" s="2"/>
      <c r="Y27" s="2"/>
      <c r="Z27" s="2"/>
      <c r="AA27" s="2"/>
      <c r="AB27" s="2"/>
      <c r="AC27" s="2"/>
      <c r="AD27" s="2"/>
      <c r="AE27" s="2"/>
    </row>
    <row r="28" spans="6:31" ht="12.5" x14ac:dyDescent="0.25">
      <c r="F28" s="2"/>
      <c r="I28" s="2"/>
      <c r="J28" s="2"/>
      <c r="M28" s="2"/>
      <c r="N28" s="2"/>
      <c r="W28" s="2"/>
      <c r="X28" s="2"/>
      <c r="Y28" s="2"/>
      <c r="Z28" s="2"/>
      <c r="AA28" s="2"/>
      <c r="AB28" s="2"/>
      <c r="AC28" s="2"/>
      <c r="AD28" s="2"/>
      <c r="AE28" s="2"/>
    </row>
    <row r="29" spans="6:31" ht="12.5" x14ac:dyDescent="0.25">
      <c r="F29" s="2"/>
      <c r="I29" s="2"/>
      <c r="J29" s="2"/>
      <c r="M29" s="2"/>
      <c r="N29" s="2"/>
      <c r="W29" s="2"/>
      <c r="X29" s="2"/>
      <c r="Y29" s="2"/>
      <c r="Z29" s="2"/>
      <c r="AA29" s="2"/>
      <c r="AB29" s="2"/>
      <c r="AC29" s="2"/>
      <c r="AD29" s="2"/>
      <c r="AE29" s="2"/>
    </row>
    <row r="30" spans="6:31" ht="12.5" x14ac:dyDescent="0.25">
      <c r="F30" s="2"/>
      <c r="I30" s="2"/>
      <c r="J30" s="2"/>
      <c r="M30" s="2"/>
      <c r="N30" s="2"/>
      <c r="W30" s="2"/>
      <c r="X30" s="2"/>
      <c r="Y30" s="2"/>
      <c r="Z30" s="2"/>
      <c r="AA30" s="2"/>
      <c r="AB30" s="2"/>
      <c r="AC30" s="2"/>
      <c r="AD30" s="2"/>
      <c r="AE30" s="2"/>
    </row>
    <row r="31" spans="6:31" ht="12.5" x14ac:dyDescent="0.25">
      <c r="F31" s="2"/>
      <c r="I31" s="2"/>
      <c r="J31" s="2"/>
      <c r="M31" s="2"/>
      <c r="N31" s="2"/>
      <c r="W31" s="2"/>
      <c r="X31" s="2"/>
      <c r="Y31" s="2"/>
      <c r="Z31" s="2"/>
      <c r="AA31" s="2"/>
      <c r="AB31" s="2"/>
      <c r="AC31" s="2"/>
      <c r="AD31" s="2"/>
      <c r="AE31" s="2"/>
    </row>
    <row r="32" spans="6:31" ht="12.5" x14ac:dyDescent="0.25">
      <c r="F32" s="2"/>
      <c r="I32" s="2"/>
      <c r="J32" s="2"/>
      <c r="M32" s="2"/>
      <c r="N32" s="2"/>
      <c r="W32" s="2"/>
      <c r="X32" s="2"/>
      <c r="Y32" s="2"/>
      <c r="Z32" s="2"/>
      <c r="AA32" s="2"/>
      <c r="AB32" s="2"/>
      <c r="AC32" s="2"/>
      <c r="AD32" s="2"/>
      <c r="AE32" s="2"/>
    </row>
    <row r="33" spans="6:31" ht="12.5" x14ac:dyDescent="0.25">
      <c r="F33" s="2"/>
      <c r="I33" s="2"/>
      <c r="J33" s="2"/>
      <c r="M33" s="2"/>
      <c r="N33" s="2"/>
      <c r="W33" s="2"/>
      <c r="X33" s="2"/>
      <c r="Y33" s="2"/>
      <c r="Z33" s="2"/>
      <c r="AA33" s="2"/>
      <c r="AB33" s="2"/>
      <c r="AC33" s="2"/>
      <c r="AD33" s="2"/>
      <c r="AE33" s="2"/>
    </row>
    <row r="34" spans="6:31" ht="12.5" x14ac:dyDescent="0.25">
      <c r="F34" s="2"/>
      <c r="I34" s="2"/>
      <c r="J34" s="2"/>
      <c r="M34" s="2"/>
      <c r="N34" s="2"/>
      <c r="W34" s="2"/>
      <c r="X34" s="2"/>
      <c r="Y34" s="2"/>
      <c r="Z34" s="2"/>
      <c r="AA34" s="2"/>
      <c r="AB34" s="2"/>
      <c r="AC34" s="2"/>
      <c r="AD34" s="2"/>
      <c r="AE34" s="2"/>
    </row>
    <row r="35" spans="6:31" ht="12.5" x14ac:dyDescent="0.25">
      <c r="F35" s="2"/>
      <c r="I35" s="2"/>
      <c r="J35" s="2"/>
      <c r="M35" s="2"/>
      <c r="N35" s="2"/>
      <c r="W35" s="2"/>
      <c r="X35" s="2"/>
      <c r="Y35" s="2"/>
      <c r="Z35" s="2"/>
      <c r="AA35" s="2"/>
      <c r="AB35" s="2"/>
      <c r="AC35" s="2"/>
      <c r="AD35" s="2"/>
      <c r="AE35" s="2"/>
    </row>
    <row r="36" spans="6:31" ht="12.5" x14ac:dyDescent="0.25">
      <c r="F36" s="2"/>
      <c r="I36" s="2"/>
      <c r="J36" s="2"/>
      <c r="M36" s="2"/>
      <c r="N36" s="2"/>
      <c r="W36" s="2"/>
      <c r="X36" s="2"/>
      <c r="Y36" s="2"/>
      <c r="Z36" s="2"/>
      <c r="AA36" s="2"/>
      <c r="AB36" s="2"/>
      <c r="AC36" s="2"/>
      <c r="AD36" s="2"/>
      <c r="AE36" s="2"/>
    </row>
    <row r="37" spans="6:31" ht="12.5" x14ac:dyDescent="0.25">
      <c r="F37" s="2"/>
      <c r="I37" s="2"/>
      <c r="J37" s="2"/>
      <c r="M37" s="2"/>
      <c r="N37" s="2"/>
      <c r="W37" s="2"/>
      <c r="X37" s="2"/>
      <c r="Y37" s="2"/>
      <c r="Z37" s="2"/>
      <c r="AA37" s="2"/>
      <c r="AB37" s="2"/>
      <c r="AC37" s="2"/>
      <c r="AD37" s="2"/>
      <c r="AE37" s="2"/>
    </row>
    <row r="38" spans="6:31" ht="12.5" x14ac:dyDescent="0.25">
      <c r="F38" s="2"/>
      <c r="I38" s="2"/>
      <c r="J38" s="2"/>
      <c r="M38" s="2"/>
      <c r="N38" s="2"/>
      <c r="W38" s="2"/>
      <c r="X38" s="2"/>
      <c r="Y38" s="2"/>
      <c r="Z38" s="2"/>
      <c r="AA38" s="2"/>
      <c r="AB38" s="2"/>
      <c r="AC38" s="2"/>
      <c r="AD38" s="2"/>
      <c r="AE38" s="2"/>
    </row>
    <row r="39" spans="6:31" ht="12.5" x14ac:dyDescent="0.25">
      <c r="F39" s="2"/>
      <c r="I39" s="2"/>
      <c r="J39" s="2"/>
      <c r="M39" s="2"/>
      <c r="N39" s="2"/>
      <c r="W39" s="2"/>
      <c r="X39" s="2"/>
      <c r="Y39" s="2"/>
      <c r="Z39" s="2"/>
      <c r="AA39" s="2"/>
      <c r="AB39" s="2"/>
      <c r="AC39" s="2"/>
      <c r="AD39" s="2"/>
      <c r="AE39" s="2"/>
    </row>
    <row r="40" spans="6:31" ht="12.5" x14ac:dyDescent="0.25">
      <c r="F40" s="2"/>
      <c r="I40" s="2"/>
      <c r="J40" s="2"/>
      <c r="M40" s="2"/>
      <c r="N40" s="2"/>
      <c r="W40" s="2"/>
      <c r="X40" s="2"/>
      <c r="Y40" s="2"/>
      <c r="Z40" s="2"/>
      <c r="AA40" s="2"/>
      <c r="AB40" s="2"/>
      <c r="AC40" s="2"/>
      <c r="AD40" s="2"/>
      <c r="AE40" s="2"/>
    </row>
    <row r="41" spans="6:31" ht="12.5" x14ac:dyDescent="0.25">
      <c r="F41" s="2"/>
      <c r="I41" s="2"/>
      <c r="J41" s="2"/>
      <c r="M41" s="2"/>
      <c r="N41" s="2"/>
      <c r="W41" s="2"/>
      <c r="X41" s="2"/>
      <c r="Y41" s="2"/>
      <c r="Z41" s="2"/>
      <c r="AA41" s="2"/>
      <c r="AB41" s="2"/>
      <c r="AC41" s="2"/>
      <c r="AD41" s="2"/>
      <c r="AE41" s="2"/>
    </row>
    <row r="42" spans="6:31" ht="12.5" x14ac:dyDescent="0.25">
      <c r="F42" s="2"/>
      <c r="I42" s="2"/>
      <c r="J42" s="2"/>
      <c r="M42" s="2"/>
      <c r="N42" s="2"/>
      <c r="W42" s="2"/>
      <c r="X42" s="2"/>
      <c r="Y42" s="2"/>
      <c r="Z42" s="2"/>
      <c r="AA42" s="2"/>
      <c r="AB42" s="2"/>
      <c r="AC42" s="2"/>
      <c r="AD42" s="2"/>
      <c r="AE42" s="2"/>
    </row>
    <row r="43" spans="6:31" ht="12.5" x14ac:dyDescent="0.25">
      <c r="F43" s="2"/>
      <c r="I43" s="2"/>
      <c r="J43" s="2"/>
      <c r="M43" s="2"/>
      <c r="N43" s="2"/>
      <c r="W43" s="2"/>
      <c r="X43" s="2"/>
      <c r="Y43" s="2"/>
      <c r="Z43" s="2"/>
      <c r="AA43" s="2"/>
      <c r="AB43" s="2"/>
      <c r="AC43" s="2"/>
      <c r="AD43" s="2"/>
      <c r="AE43" s="2"/>
    </row>
    <row r="44" spans="6:31" ht="12.5" x14ac:dyDescent="0.25">
      <c r="F44" s="2"/>
      <c r="I44" s="2"/>
      <c r="J44" s="2"/>
      <c r="M44" s="2"/>
      <c r="N44" s="2"/>
      <c r="W44" s="2"/>
      <c r="X44" s="2"/>
      <c r="Y44" s="2"/>
      <c r="Z44" s="2"/>
      <c r="AA44" s="2"/>
      <c r="AB44" s="2"/>
      <c r="AC44" s="2"/>
      <c r="AD44" s="2"/>
      <c r="AE44" s="2"/>
    </row>
    <row r="45" spans="6:31" ht="12.5" x14ac:dyDescent="0.25">
      <c r="F45" s="2"/>
      <c r="I45" s="2"/>
      <c r="J45" s="2"/>
      <c r="M45" s="2"/>
      <c r="N45" s="2"/>
      <c r="W45" s="2"/>
      <c r="X45" s="2"/>
      <c r="Y45" s="2"/>
      <c r="Z45" s="2"/>
      <c r="AA45" s="2"/>
      <c r="AB45" s="2"/>
      <c r="AC45" s="2"/>
      <c r="AD45" s="2"/>
      <c r="AE45" s="2"/>
    </row>
    <row r="46" spans="6:31" ht="12.5" x14ac:dyDescent="0.25">
      <c r="F46" s="2"/>
      <c r="I46" s="2"/>
      <c r="J46" s="2"/>
      <c r="M46" s="2"/>
      <c r="N46" s="2"/>
      <c r="W46" s="2"/>
      <c r="X46" s="2"/>
      <c r="Y46" s="2"/>
      <c r="Z46" s="2"/>
      <c r="AA46" s="2"/>
      <c r="AB46" s="2"/>
      <c r="AC46" s="2"/>
      <c r="AD46" s="2"/>
      <c r="AE46" s="2"/>
    </row>
    <row r="47" spans="6:31" ht="12.5" x14ac:dyDescent="0.25">
      <c r="F47" s="2"/>
      <c r="I47" s="2"/>
      <c r="J47" s="2"/>
      <c r="M47" s="2"/>
      <c r="N47" s="2"/>
      <c r="W47" s="2"/>
      <c r="X47" s="2"/>
      <c r="Y47" s="2"/>
      <c r="Z47" s="2"/>
      <c r="AA47" s="2"/>
      <c r="AB47" s="2"/>
      <c r="AC47" s="2"/>
      <c r="AD47" s="2"/>
      <c r="AE47" s="2"/>
    </row>
    <row r="48" spans="6:31" ht="12.5" x14ac:dyDescent="0.25">
      <c r="F48" s="2"/>
      <c r="I48" s="2"/>
      <c r="J48" s="2"/>
      <c r="M48" s="2"/>
      <c r="N48" s="2"/>
      <c r="W48" s="2"/>
      <c r="X48" s="2"/>
      <c r="Y48" s="2"/>
      <c r="Z48" s="2"/>
      <c r="AA48" s="2"/>
      <c r="AB48" s="2"/>
      <c r="AC48" s="2"/>
      <c r="AD48" s="2"/>
      <c r="AE48" s="2"/>
    </row>
    <row r="49" spans="6:31" ht="12.5" x14ac:dyDescent="0.25">
      <c r="F49" s="2"/>
      <c r="I49" s="2"/>
      <c r="J49" s="2"/>
      <c r="M49" s="2"/>
      <c r="N49" s="2"/>
      <c r="W49" s="2"/>
      <c r="X49" s="2"/>
      <c r="Y49" s="2"/>
      <c r="Z49" s="2"/>
      <c r="AA49" s="2"/>
      <c r="AB49" s="2"/>
      <c r="AC49" s="2"/>
      <c r="AD49" s="2"/>
      <c r="AE49" s="2"/>
    </row>
    <row r="50" spans="6:31" ht="12.5" x14ac:dyDescent="0.25">
      <c r="F50" s="2"/>
      <c r="I50" s="2"/>
      <c r="J50" s="2"/>
      <c r="M50" s="2"/>
      <c r="N50" s="2"/>
      <c r="W50" s="2"/>
      <c r="X50" s="2"/>
      <c r="Y50" s="2"/>
      <c r="Z50" s="2"/>
      <c r="AA50" s="2"/>
      <c r="AB50" s="2"/>
      <c r="AC50" s="2"/>
      <c r="AD50" s="2"/>
      <c r="AE50" s="2"/>
    </row>
    <row r="51" spans="6:31" ht="12.5" x14ac:dyDescent="0.25">
      <c r="F51" s="2"/>
      <c r="I51" s="2"/>
      <c r="J51" s="2"/>
      <c r="M51" s="2"/>
      <c r="N51" s="2"/>
      <c r="W51" s="2"/>
      <c r="X51" s="2"/>
      <c r="Y51" s="2"/>
      <c r="Z51" s="2"/>
      <c r="AA51" s="2"/>
      <c r="AB51" s="2"/>
      <c r="AC51" s="2"/>
      <c r="AD51" s="2"/>
      <c r="AE51" s="2"/>
    </row>
    <row r="52" spans="6:31" ht="12.5" x14ac:dyDescent="0.25">
      <c r="F52" s="2"/>
      <c r="I52" s="2"/>
      <c r="J52" s="2"/>
      <c r="M52" s="2"/>
      <c r="N52" s="2"/>
      <c r="W52" s="2"/>
      <c r="X52" s="2"/>
      <c r="Y52" s="2"/>
      <c r="Z52" s="2"/>
      <c r="AA52" s="2"/>
      <c r="AB52" s="2"/>
      <c r="AC52" s="2"/>
      <c r="AD52" s="2"/>
      <c r="AE52" s="2"/>
    </row>
    <row r="53" spans="6:31" ht="12.5" x14ac:dyDescent="0.25">
      <c r="F53" s="2"/>
      <c r="I53" s="2"/>
      <c r="J53" s="2"/>
      <c r="M53" s="2"/>
      <c r="N53" s="2"/>
      <c r="W53" s="2"/>
      <c r="X53" s="2"/>
      <c r="Y53" s="2"/>
      <c r="Z53" s="2"/>
      <c r="AA53" s="2"/>
      <c r="AB53" s="2"/>
      <c r="AC53" s="2"/>
      <c r="AD53" s="2"/>
      <c r="AE53" s="2"/>
    </row>
    <row r="54" spans="6:31" ht="12.5" x14ac:dyDescent="0.25">
      <c r="F54" s="2"/>
      <c r="I54" s="2"/>
      <c r="J54" s="2"/>
      <c r="M54" s="2"/>
      <c r="N54" s="2"/>
      <c r="W54" s="2"/>
      <c r="X54" s="2"/>
      <c r="Y54" s="2"/>
      <c r="Z54" s="2"/>
      <c r="AA54" s="2"/>
      <c r="AB54" s="2"/>
      <c r="AC54" s="2"/>
      <c r="AD54" s="2"/>
      <c r="AE54" s="2"/>
    </row>
    <row r="55" spans="6:31" ht="12.5" x14ac:dyDescent="0.25">
      <c r="F55" s="2"/>
      <c r="I55" s="2"/>
      <c r="J55" s="2"/>
      <c r="M55" s="2"/>
      <c r="N55" s="2"/>
      <c r="W55" s="2"/>
      <c r="X55" s="2"/>
      <c r="Y55" s="2"/>
      <c r="Z55" s="2"/>
      <c r="AA55" s="2"/>
      <c r="AB55" s="2"/>
      <c r="AC55" s="2"/>
      <c r="AD55" s="2"/>
      <c r="AE55" s="2"/>
    </row>
    <row r="56" spans="6:31" ht="12.5" x14ac:dyDescent="0.25">
      <c r="F56" s="2"/>
      <c r="I56" s="2"/>
      <c r="J56" s="2"/>
      <c r="M56" s="2"/>
      <c r="N56" s="2"/>
      <c r="W56" s="2"/>
      <c r="X56" s="2"/>
      <c r="Y56" s="2"/>
      <c r="Z56" s="2"/>
      <c r="AA56" s="2"/>
      <c r="AB56" s="2"/>
      <c r="AC56" s="2"/>
      <c r="AD56" s="2"/>
      <c r="AE56" s="2"/>
    </row>
    <row r="57" spans="6:31" ht="12.5" x14ac:dyDescent="0.25">
      <c r="F57" s="2"/>
      <c r="I57" s="2"/>
      <c r="J57" s="2"/>
      <c r="M57" s="2"/>
      <c r="N57" s="2"/>
      <c r="W57" s="2"/>
      <c r="X57" s="2"/>
      <c r="Y57" s="2"/>
      <c r="Z57" s="2"/>
      <c r="AA57" s="2"/>
      <c r="AB57" s="2"/>
      <c r="AC57" s="2"/>
      <c r="AD57" s="2"/>
      <c r="AE57" s="2"/>
    </row>
    <row r="58" spans="6:31" ht="12.5" x14ac:dyDescent="0.25">
      <c r="F58" s="2"/>
      <c r="I58" s="2"/>
      <c r="J58" s="2"/>
      <c r="M58" s="2"/>
      <c r="N58" s="2"/>
      <c r="W58" s="2"/>
      <c r="X58" s="2"/>
      <c r="Y58" s="2"/>
      <c r="Z58" s="2"/>
      <c r="AA58" s="2"/>
      <c r="AB58" s="2"/>
      <c r="AC58" s="2"/>
      <c r="AD58" s="2"/>
      <c r="AE58" s="2"/>
    </row>
    <row r="59" spans="6:31" ht="12.5" x14ac:dyDescent="0.25">
      <c r="F59" s="2"/>
      <c r="I59" s="2"/>
      <c r="J59" s="2"/>
      <c r="M59" s="2"/>
      <c r="N59" s="2"/>
      <c r="W59" s="2"/>
      <c r="X59" s="2"/>
      <c r="Y59" s="2"/>
      <c r="Z59" s="2"/>
      <c r="AA59" s="2"/>
      <c r="AB59" s="2"/>
      <c r="AC59" s="2"/>
      <c r="AD59" s="2"/>
      <c r="AE59" s="2"/>
    </row>
    <row r="60" spans="6:31" ht="12.5" x14ac:dyDescent="0.25">
      <c r="F60" s="2"/>
      <c r="I60" s="2"/>
      <c r="J60" s="2"/>
      <c r="M60" s="2"/>
      <c r="N60" s="2"/>
      <c r="W60" s="2"/>
      <c r="X60" s="2"/>
      <c r="Y60" s="2"/>
      <c r="Z60" s="2"/>
      <c r="AA60" s="2"/>
      <c r="AB60" s="2"/>
      <c r="AC60" s="2"/>
      <c r="AD60" s="2"/>
      <c r="AE60" s="2"/>
    </row>
    <row r="61" spans="6:31" ht="12.5" x14ac:dyDescent="0.25">
      <c r="F61" s="2"/>
      <c r="I61" s="2"/>
      <c r="J61" s="2"/>
      <c r="M61" s="2"/>
      <c r="N61" s="2"/>
      <c r="W61" s="2"/>
      <c r="X61" s="2"/>
      <c r="Y61" s="2"/>
      <c r="Z61" s="2"/>
      <c r="AA61" s="2"/>
      <c r="AB61" s="2"/>
      <c r="AC61" s="2"/>
      <c r="AD61" s="2"/>
      <c r="AE61" s="2"/>
    </row>
    <row r="62" spans="6:31" ht="12.5" x14ac:dyDescent="0.25">
      <c r="F62" s="2"/>
      <c r="I62" s="2"/>
      <c r="J62" s="2"/>
      <c r="M62" s="2"/>
      <c r="N62" s="2"/>
      <c r="W62" s="2"/>
      <c r="X62" s="2"/>
      <c r="Y62" s="2"/>
      <c r="Z62" s="2"/>
      <c r="AA62" s="2"/>
      <c r="AB62" s="2"/>
      <c r="AC62" s="2"/>
      <c r="AD62" s="2"/>
      <c r="AE62" s="2"/>
    </row>
    <row r="63" spans="6:31" ht="12.5" x14ac:dyDescent="0.25">
      <c r="F63" s="2"/>
      <c r="I63" s="2"/>
      <c r="J63" s="2"/>
      <c r="M63" s="2"/>
      <c r="N63" s="2"/>
      <c r="W63" s="2"/>
      <c r="X63" s="2"/>
      <c r="Y63" s="2"/>
      <c r="Z63" s="2"/>
      <c r="AA63" s="2"/>
      <c r="AB63" s="2"/>
      <c r="AC63" s="2"/>
      <c r="AD63" s="2"/>
      <c r="AE63" s="2"/>
    </row>
    <row r="64" spans="6:31" ht="12.5" x14ac:dyDescent="0.25">
      <c r="F64" s="2"/>
      <c r="I64" s="2"/>
      <c r="J64" s="2"/>
      <c r="M64" s="2"/>
      <c r="N64" s="2"/>
      <c r="W64" s="2"/>
      <c r="X64" s="2"/>
      <c r="Y64" s="2"/>
      <c r="Z64" s="2"/>
      <c r="AA64" s="2"/>
      <c r="AB64" s="2"/>
      <c r="AC64" s="2"/>
      <c r="AD64" s="2"/>
      <c r="AE64" s="2"/>
    </row>
    <row r="65" spans="6:31" ht="12.5" x14ac:dyDescent="0.25">
      <c r="F65" s="2"/>
      <c r="I65" s="2"/>
      <c r="J65" s="2"/>
      <c r="M65" s="2"/>
      <c r="N65" s="2"/>
      <c r="W65" s="2"/>
      <c r="X65" s="2"/>
      <c r="Y65" s="2"/>
      <c r="Z65" s="2"/>
      <c r="AA65" s="2"/>
      <c r="AB65" s="2"/>
      <c r="AC65" s="2"/>
      <c r="AD65" s="2"/>
      <c r="AE65" s="2"/>
    </row>
    <row r="66" spans="6:31" ht="12.5" x14ac:dyDescent="0.25">
      <c r="F66" s="2"/>
      <c r="I66" s="2"/>
      <c r="J66" s="2"/>
      <c r="M66" s="2"/>
      <c r="N66" s="2"/>
      <c r="W66" s="2"/>
      <c r="X66" s="2"/>
      <c r="Y66" s="2"/>
      <c r="Z66" s="2"/>
      <c r="AA66" s="2"/>
      <c r="AB66" s="2"/>
      <c r="AC66" s="2"/>
      <c r="AD66" s="2"/>
      <c r="AE66" s="2"/>
    </row>
    <row r="67" spans="6:31" ht="12.5" x14ac:dyDescent="0.25">
      <c r="F67" s="2"/>
      <c r="I67" s="2"/>
      <c r="J67" s="2"/>
      <c r="M67" s="2"/>
      <c r="N67" s="2"/>
      <c r="W67" s="2"/>
      <c r="X67" s="2"/>
      <c r="Y67" s="2"/>
      <c r="Z67" s="2"/>
      <c r="AA67" s="2"/>
      <c r="AB67" s="2"/>
      <c r="AC67" s="2"/>
      <c r="AD67" s="2"/>
      <c r="AE67" s="2"/>
    </row>
    <row r="68" spans="6:31" ht="12.5" x14ac:dyDescent="0.25">
      <c r="F68" s="2"/>
      <c r="I68" s="2"/>
      <c r="J68" s="2"/>
      <c r="M68" s="2"/>
      <c r="N68" s="2"/>
      <c r="W68" s="2"/>
      <c r="X68" s="2"/>
      <c r="Y68" s="2"/>
      <c r="Z68" s="2"/>
      <c r="AA68" s="2"/>
      <c r="AB68" s="2"/>
      <c r="AC68" s="2"/>
      <c r="AD68" s="2"/>
      <c r="AE68" s="2"/>
    </row>
    <row r="69" spans="6:31" ht="12.5" x14ac:dyDescent="0.25">
      <c r="F69" s="2"/>
      <c r="I69" s="2"/>
      <c r="J69" s="2"/>
      <c r="M69" s="2"/>
      <c r="N69" s="2"/>
      <c r="W69" s="2"/>
      <c r="X69" s="2"/>
      <c r="Y69" s="2"/>
      <c r="Z69" s="2"/>
      <c r="AA69" s="2"/>
      <c r="AB69" s="2"/>
      <c r="AC69" s="2"/>
      <c r="AD69" s="2"/>
      <c r="AE69" s="2"/>
    </row>
    <row r="70" spans="6:31" ht="12.5" x14ac:dyDescent="0.25">
      <c r="F70" s="2"/>
      <c r="I70" s="2"/>
      <c r="J70" s="2"/>
      <c r="M70" s="2"/>
      <c r="N70" s="2"/>
      <c r="W70" s="2"/>
      <c r="X70" s="2"/>
      <c r="Y70" s="2"/>
      <c r="Z70" s="2"/>
      <c r="AA70" s="2"/>
      <c r="AB70" s="2"/>
      <c r="AC70" s="2"/>
      <c r="AD70" s="2"/>
      <c r="AE70" s="2"/>
    </row>
    <row r="71" spans="6:31" ht="12.5" x14ac:dyDescent="0.25">
      <c r="F71" s="2"/>
      <c r="I71" s="2"/>
      <c r="J71" s="2"/>
      <c r="M71" s="2"/>
      <c r="N71" s="2"/>
      <c r="W71" s="2"/>
      <c r="X71" s="2"/>
      <c r="Y71" s="2"/>
      <c r="Z71" s="2"/>
      <c r="AA71" s="2"/>
      <c r="AB71" s="2"/>
      <c r="AC71" s="2"/>
      <c r="AD71" s="2"/>
      <c r="AE71" s="2"/>
    </row>
    <row r="72" spans="6:31" ht="12.5" x14ac:dyDescent="0.25">
      <c r="F72" s="2"/>
      <c r="I72" s="2"/>
      <c r="J72" s="2"/>
      <c r="M72" s="2"/>
      <c r="N72" s="2"/>
      <c r="W72" s="2"/>
      <c r="X72" s="2"/>
      <c r="Y72" s="2"/>
      <c r="Z72" s="2"/>
      <c r="AA72" s="2"/>
      <c r="AB72" s="2"/>
      <c r="AC72" s="2"/>
      <c r="AD72" s="2"/>
      <c r="AE72" s="2"/>
    </row>
    <row r="73" spans="6:31" ht="12.5" x14ac:dyDescent="0.25">
      <c r="F73" s="2"/>
      <c r="I73" s="2"/>
      <c r="J73" s="2"/>
      <c r="M73" s="2"/>
      <c r="N73" s="2"/>
      <c r="W73" s="2"/>
      <c r="X73" s="2"/>
      <c r="Y73" s="2"/>
      <c r="Z73" s="2"/>
      <c r="AA73" s="2"/>
      <c r="AB73" s="2"/>
      <c r="AC73" s="2"/>
      <c r="AD73" s="2"/>
      <c r="AE73" s="2"/>
    </row>
    <row r="74" spans="6:31" ht="12.5" x14ac:dyDescent="0.25">
      <c r="F74" s="2"/>
      <c r="I74" s="2"/>
      <c r="J74" s="2"/>
      <c r="M74" s="2"/>
      <c r="N74" s="2"/>
      <c r="W74" s="2"/>
      <c r="X74" s="2"/>
      <c r="Y74" s="2"/>
      <c r="Z74" s="2"/>
      <c r="AA74" s="2"/>
      <c r="AB74" s="2"/>
      <c r="AC74" s="2"/>
      <c r="AD74" s="2"/>
      <c r="AE74" s="2"/>
    </row>
    <row r="75" spans="6:31" ht="12.5" x14ac:dyDescent="0.25">
      <c r="F75" s="2"/>
      <c r="I75" s="2"/>
      <c r="J75" s="2"/>
      <c r="M75" s="2"/>
      <c r="N75" s="2"/>
      <c r="W75" s="2"/>
      <c r="X75" s="2"/>
      <c r="Y75" s="2"/>
      <c r="Z75" s="2"/>
      <c r="AA75" s="2"/>
      <c r="AB75" s="2"/>
      <c r="AC75" s="2"/>
      <c r="AD75" s="2"/>
      <c r="AE75" s="2"/>
    </row>
    <row r="76" spans="6:31" ht="12.5" x14ac:dyDescent="0.25">
      <c r="F76" s="2"/>
      <c r="I76" s="2"/>
      <c r="J76" s="2"/>
      <c r="M76" s="2"/>
      <c r="N76" s="2"/>
      <c r="W76" s="2"/>
      <c r="X76" s="2"/>
      <c r="Y76" s="2"/>
      <c r="Z76" s="2"/>
      <c r="AA76" s="2"/>
      <c r="AB76" s="2"/>
      <c r="AC76" s="2"/>
      <c r="AD76" s="2"/>
      <c r="AE76" s="2"/>
    </row>
    <row r="77" spans="6:31" ht="12.5" x14ac:dyDescent="0.25">
      <c r="F77" s="2"/>
      <c r="I77" s="2"/>
      <c r="J77" s="2"/>
      <c r="M77" s="2"/>
      <c r="N77" s="2"/>
      <c r="W77" s="2"/>
      <c r="X77" s="2"/>
      <c r="Y77" s="2"/>
      <c r="Z77" s="2"/>
      <c r="AA77" s="2"/>
      <c r="AB77" s="2"/>
      <c r="AC77" s="2"/>
      <c r="AD77" s="2"/>
      <c r="AE77" s="2"/>
    </row>
    <row r="78" spans="6:31" ht="12.5" x14ac:dyDescent="0.25">
      <c r="F78" s="2"/>
      <c r="I78" s="2"/>
      <c r="J78" s="2"/>
      <c r="M78" s="2"/>
      <c r="N78" s="2"/>
      <c r="W78" s="2"/>
      <c r="X78" s="2"/>
      <c r="Y78" s="2"/>
      <c r="Z78" s="2"/>
      <c r="AA78" s="2"/>
      <c r="AB78" s="2"/>
      <c r="AC78" s="2"/>
      <c r="AD78" s="2"/>
      <c r="AE78" s="2"/>
    </row>
    <row r="79" spans="6:31" ht="12.5" x14ac:dyDescent="0.25">
      <c r="F79" s="2"/>
      <c r="I79" s="2"/>
      <c r="J79" s="2"/>
      <c r="M79" s="2"/>
      <c r="N79" s="2"/>
      <c r="W79" s="2"/>
      <c r="X79" s="2"/>
      <c r="Y79" s="2"/>
      <c r="Z79" s="2"/>
      <c r="AA79" s="2"/>
      <c r="AB79" s="2"/>
      <c r="AC79" s="2"/>
      <c r="AD79" s="2"/>
      <c r="AE79" s="2"/>
    </row>
    <row r="80" spans="6:31" ht="12.5" x14ac:dyDescent="0.25">
      <c r="F80" s="2"/>
      <c r="I80" s="2"/>
      <c r="J80" s="2"/>
      <c r="M80" s="2"/>
      <c r="N80" s="2"/>
      <c r="W80" s="2"/>
      <c r="X80" s="2"/>
      <c r="Y80" s="2"/>
      <c r="Z80" s="2"/>
      <c r="AA80" s="2"/>
      <c r="AB80" s="2"/>
      <c r="AC80" s="2"/>
      <c r="AD80" s="2"/>
      <c r="AE80" s="2"/>
    </row>
    <row r="81" spans="6:31" ht="12.5" x14ac:dyDescent="0.25">
      <c r="F81" s="2"/>
      <c r="I81" s="2"/>
      <c r="J81" s="2"/>
      <c r="M81" s="2"/>
      <c r="N81" s="2"/>
      <c r="W81" s="2"/>
      <c r="X81" s="2"/>
      <c r="Y81" s="2"/>
      <c r="Z81" s="2"/>
      <c r="AA81" s="2"/>
      <c r="AB81" s="2"/>
      <c r="AC81" s="2"/>
      <c r="AD81" s="2"/>
      <c r="AE81" s="2"/>
    </row>
    <row r="82" spans="6:31" ht="12.5" x14ac:dyDescent="0.25">
      <c r="F82" s="2"/>
      <c r="I82" s="2"/>
      <c r="J82" s="2"/>
      <c r="M82" s="2"/>
      <c r="N82" s="2"/>
      <c r="W82" s="2"/>
      <c r="X82" s="2"/>
      <c r="Y82" s="2"/>
      <c r="Z82" s="2"/>
      <c r="AA82" s="2"/>
      <c r="AB82" s="2"/>
      <c r="AC82" s="2"/>
      <c r="AD82" s="2"/>
      <c r="AE82" s="2"/>
    </row>
    <row r="83" spans="6:31" ht="12.5" x14ac:dyDescent="0.25">
      <c r="F83" s="2"/>
      <c r="I83" s="2"/>
      <c r="J83" s="2"/>
      <c r="M83" s="2"/>
      <c r="N83" s="2"/>
      <c r="W83" s="2"/>
      <c r="X83" s="2"/>
      <c r="Y83" s="2"/>
      <c r="Z83" s="2"/>
      <c r="AA83" s="2"/>
      <c r="AB83" s="2"/>
      <c r="AC83" s="2"/>
      <c r="AD83" s="2"/>
      <c r="AE83" s="2"/>
    </row>
    <row r="84" spans="6:31" ht="12.5" x14ac:dyDescent="0.25">
      <c r="F84" s="2"/>
      <c r="I84" s="2"/>
      <c r="J84" s="2"/>
      <c r="M84" s="2"/>
      <c r="N84" s="2"/>
      <c r="W84" s="2"/>
      <c r="X84" s="2"/>
      <c r="Y84" s="2"/>
      <c r="Z84" s="2"/>
      <c r="AA84" s="2"/>
      <c r="AB84" s="2"/>
      <c r="AC84" s="2"/>
      <c r="AD84" s="2"/>
      <c r="AE84" s="2"/>
    </row>
    <row r="85" spans="6:31" ht="12.5" x14ac:dyDescent="0.25">
      <c r="F85" s="2"/>
      <c r="I85" s="2"/>
      <c r="J85" s="2"/>
      <c r="M85" s="2"/>
      <c r="N85" s="2"/>
      <c r="W85" s="2"/>
      <c r="X85" s="2"/>
      <c r="Y85" s="2"/>
      <c r="Z85" s="2"/>
      <c r="AA85" s="2"/>
      <c r="AB85" s="2"/>
      <c r="AC85" s="2"/>
      <c r="AD85" s="2"/>
      <c r="AE85" s="2"/>
    </row>
    <row r="86" spans="6:31" ht="12.5" x14ac:dyDescent="0.25">
      <c r="F86" s="2"/>
      <c r="I86" s="2"/>
      <c r="J86" s="2"/>
      <c r="M86" s="2"/>
      <c r="N86" s="2"/>
      <c r="W86" s="2"/>
      <c r="X86" s="2"/>
      <c r="Y86" s="2"/>
      <c r="Z86" s="2"/>
      <c r="AA86" s="2"/>
      <c r="AB86" s="2"/>
      <c r="AC86" s="2"/>
      <c r="AD86" s="2"/>
      <c r="AE86" s="2"/>
    </row>
    <row r="87" spans="6:31" ht="12.5" x14ac:dyDescent="0.25">
      <c r="F87" s="2"/>
      <c r="I87" s="2"/>
      <c r="J87" s="2"/>
      <c r="M87" s="2"/>
      <c r="N87" s="2"/>
      <c r="W87" s="2"/>
      <c r="X87" s="2"/>
      <c r="Y87" s="2"/>
      <c r="Z87" s="2"/>
      <c r="AA87" s="2"/>
      <c r="AB87" s="2"/>
      <c r="AC87" s="2"/>
      <c r="AD87" s="2"/>
      <c r="AE87" s="2"/>
    </row>
    <row r="88" spans="6:31" ht="12.5" x14ac:dyDescent="0.25">
      <c r="F88" s="2"/>
      <c r="I88" s="2"/>
      <c r="J88" s="2"/>
      <c r="M88" s="2"/>
      <c r="N88" s="2"/>
      <c r="W88" s="2"/>
      <c r="X88" s="2"/>
      <c r="Y88" s="2"/>
      <c r="Z88" s="2"/>
      <c r="AA88" s="2"/>
      <c r="AB88" s="2"/>
      <c r="AC88" s="2"/>
      <c r="AD88" s="2"/>
      <c r="AE88" s="2"/>
    </row>
    <row r="89" spans="6:31" ht="12.5" x14ac:dyDescent="0.25">
      <c r="F89" s="2"/>
      <c r="I89" s="2"/>
      <c r="J89" s="2"/>
      <c r="M89" s="2"/>
      <c r="N89" s="2"/>
      <c r="W89" s="2"/>
      <c r="X89" s="2"/>
      <c r="Y89" s="2"/>
      <c r="Z89" s="2"/>
      <c r="AA89" s="2"/>
      <c r="AB89" s="2"/>
      <c r="AC89" s="2"/>
      <c r="AD89" s="2"/>
      <c r="AE89" s="2"/>
    </row>
    <row r="90" spans="6:31" ht="12.5" x14ac:dyDescent="0.25">
      <c r="F90" s="2"/>
      <c r="I90" s="2"/>
      <c r="J90" s="2"/>
      <c r="M90" s="2"/>
      <c r="N90" s="2"/>
      <c r="W90" s="2"/>
      <c r="X90" s="2"/>
      <c r="Y90" s="2"/>
      <c r="Z90" s="2"/>
      <c r="AA90" s="2"/>
      <c r="AB90" s="2"/>
      <c r="AC90" s="2"/>
      <c r="AD90" s="2"/>
      <c r="AE90" s="2"/>
    </row>
    <row r="91" spans="6:31" ht="12.5" x14ac:dyDescent="0.25">
      <c r="F91" s="2"/>
      <c r="I91" s="2"/>
      <c r="J91" s="2"/>
      <c r="M91" s="2"/>
      <c r="N91" s="2"/>
      <c r="W91" s="2"/>
      <c r="X91" s="2"/>
      <c r="Y91" s="2"/>
      <c r="Z91" s="2"/>
      <c r="AA91" s="2"/>
      <c r="AB91" s="2"/>
      <c r="AC91" s="2"/>
      <c r="AD91" s="2"/>
      <c r="AE91" s="2"/>
    </row>
    <row r="92" spans="6:31" ht="12.5" x14ac:dyDescent="0.25">
      <c r="F92" s="2"/>
      <c r="I92" s="2"/>
      <c r="J92" s="2"/>
      <c r="M92" s="2"/>
      <c r="N92" s="2"/>
      <c r="W92" s="2"/>
      <c r="X92" s="2"/>
      <c r="Y92" s="2"/>
      <c r="Z92" s="2"/>
      <c r="AA92" s="2"/>
      <c r="AB92" s="2"/>
      <c r="AC92" s="2"/>
      <c r="AD92" s="2"/>
      <c r="AE92" s="2"/>
    </row>
    <row r="93" spans="6:31" ht="12.5" x14ac:dyDescent="0.25">
      <c r="F93" s="2"/>
      <c r="I93" s="2"/>
      <c r="J93" s="2"/>
      <c r="M93" s="2"/>
      <c r="N93" s="2"/>
      <c r="W93" s="2"/>
      <c r="X93" s="2"/>
      <c r="Y93" s="2"/>
      <c r="Z93" s="2"/>
      <c r="AA93" s="2"/>
      <c r="AB93" s="2"/>
      <c r="AC93" s="2"/>
      <c r="AD93" s="2"/>
      <c r="AE93" s="2"/>
    </row>
    <row r="94" spans="6:31" ht="12.5" x14ac:dyDescent="0.25">
      <c r="F94" s="2"/>
      <c r="I94" s="2"/>
      <c r="J94" s="2"/>
      <c r="M94" s="2"/>
      <c r="N94" s="2"/>
      <c r="W94" s="2"/>
      <c r="X94" s="2"/>
      <c r="Y94" s="2"/>
      <c r="Z94" s="2"/>
      <c r="AA94" s="2"/>
      <c r="AB94" s="2"/>
      <c r="AC94" s="2"/>
      <c r="AD94" s="2"/>
      <c r="AE94" s="2"/>
    </row>
    <row r="95" spans="6:31" ht="12.5" x14ac:dyDescent="0.25">
      <c r="F95" s="2"/>
      <c r="I95" s="2"/>
      <c r="J95" s="2"/>
      <c r="M95" s="2"/>
      <c r="N95" s="2"/>
      <c r="W95" s="2"/>
      <c r="X95" s="2"/>
      <c r="Y95" s="2"/>
      <c r="Z95" s="2"/>
      <c r="AA95" s="2"/>
      <c r="AB95" s="2"/>
      <c r="AC95" s="2"/>
      <c r="AD95" s="2"/>
      <c r="AE95" s="2"/>
    </row>
    <row r="96" spans="6:31" ht="12.5" x14ac:dyDescent="0.25">
      <c r="F96" s="2"/>
      <c r="I96" s="2"/>
      <c r="J96" s="2"/>
      <c r="M96" s="2"/>
      <c r="N96" s="2"/>
      <c r="W96" s="2"/>
      <c r="X96" s="2"/>
      <c r="Y96" s="2"/>
      <c r="Z96" s="2"/>
      <c r="AA96" s="2"/>
      <c r="AB96" s="2"/>
      <c r="AC96" s="2"/>
      <c r="AD96" s="2"/>
      <c r="AE96" s="2"/>
    </row>
    <row r="97" spans="6:31" ht="12.5" x14ac:dyDescent="0.25">
      <c r="F97" s="2"/>
      <c r="I97" s="2"/>
      <c r="J97" s="2"/>
      <c r="M97" s="2"/>
      <c r="N97" s="2"/>
      <c r="W97" s="2"/>
      <c r="X97" s="2"/>
      <c r="Y97" s="2"/>
      <c r="Z97" s="2"/>
      <c r="AA97" s="2"/>
      <c r="AB97" s="2"/>
      <c r="AC97" s="2"/>
      <c r="AD97" s="2"/>
      <c r="AE97" s="2"/>
    </row>
    <row r="98" spans="6:31" ht="12.5" x14ac:dyDescent="0.25">
      <c r="F98" s="2"/>
      <c r="I98" s="2"/>
      <c r="J98" s="2"/>
      <c r="M98" s="2"/>
      <c r="N98" s="2"/>
      <c r="W98" s="2"/>
      <c r="X98" s="2"/>
      <c r="Y98" s="2"/>
      <c r="Z98" s="2"/>
      <c r="AA98" s="2"/>
      <c r="AB98" s="2"/>
      <c r="AC98" s="2"/>
      <c r="AD98" s="2"/>
      <c r="AE98" s="2"/>
    </row>
    <row r="99" spans="6:31" ht="12.5" x14ac:dyDescent="0.25">
      <c r="F99" s="2"/>
      <c r="I99" s="2"/>
      <c r="J99" s="2"/>
      <c r="M99" s="2"/>
      <c r="N99" s="2"/>
      <c r="W99" s="2"/>
      <c r="X99" s="2"/>
      <c r="Y99" s="2"/>
      <c r="Z99" s="2"/>
      <c r="AA99" s="2"/>
      <c r="AB99" s="2"/>
      <c r="AC99" s="2"/>
      <c r="AD99" s="2"/>
      <c r="AE99" s="2"/>
    </row>
    <row r="100" spans="6:31" ht="12.5" x14ac:dyDescent="0.25">
      <c r="F100" s="2"/>
      <c r="I100" s="2"/>
      <c r="J100" s="2"/>
      <c r="M100" s="2"/>
      <c r="N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spans="6:31" ht="12.5" x14ac:dyDescent="0.25">
      <c r="F101" s="2"/>
      <c r="I101" s="2"/>
      <c r="J101" s="2"/>
      <c r="M101" s="2"/>
      <c r="N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spans="6:31" ht="12.5" x14ac:dyDescent="0.25">
      <c r="F102" s="2"/>
      <c r="I102" s="2"/>
      <c r="J102" s="2"/>
      <c r="M102" s="2"/>
      <c r="N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spans="6:31" ht="12.5" x14ac:dyDescent="0.25">
      <c r="F103" s="2"/>
      <c r="I103" s="2"/>
      <c r="J103" s="2"/>
      <c r="M103" s="2"/>
      <c r="N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spans="6:31" ht="12.5" x14ac:dyDescent="0.25">
      <c r="F104" s="2"/>
      <c r="I104" s="2"/>
      <c r="J104" s="2"/>
      <c r="M104" s="2"/>
      <c r="N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spans="6:31" ht="12.5" x14ac:dyDescent="0.25">
      <c r="F105" s="2"/>
      <c r="I105" s="2"/>
      <c r="J105" s="2"/>
      <c r="M105" s="2"/>
      <c r="N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spans="6:31" ht="12.5" x14ac:dyDescent="0.25">
      <c r="F106" s="2"/>
      <c r="I106" s="2"/>
      <c r="J106" s="2"/>
      <c r="M106" s="2"/>
      <c r="N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spans="6:31" ht="12.5" x14ac:dyDescent="0.25">
      <c r="F107" s="2"/>
      <c r="I107" s="2"/>
      <c r="J107" s="2"/>
      <c r="M107" s="2"/>
      <c r="N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6:31" ht="12.5" x14ac:dyDescent="0.25">
      <c r="F108" s="2"/>
      <c r="I108" s="2"/>
      <c r="J108" s="2"/>
      <c r="M108" s="2"/>
      <c r="N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6:31" ht="12.5" x14ac:dyDescent="0.25">
      <c r="F109" s="2"/>
      <c r="I109" s="2"/>
      <c r="J109" s="2"/>
      <c r="M109" s="2"/>
      <c r="N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spans="6:31" ht="12.5" x14ac:dyDescent="0.25">
      <c r="F110" s="2"/>
      <c r="I110" s="2"/>
      <c r="J110" s="2"/>
      <c r="M110" s="2"/>
      <c r="N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spans="6:31" ht="12.5" x14ac:dyDescent="0.25">
      <c r="F111" s="2"/>
      <c r="I111" s="2"/>
      <c r="J111" s="2"/>
      <c r="M111" s="2"/>
      <c r="N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6:31" ht="12.5" x14ac:dyDescent="0.25">
      <c r="F112" s="2"/>
      <c r="I112" s="2"/>
      <c r="J112" s="2"/>
      <c r="M112" s="2"/>
      <c r="N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6:31" ht="12.5" x14ac:dyDescent="0.25">
      <c r="F113" s="2"/>
      <c r="I113" s="2"/>
      <c r="J113" s="2"/>
      <c r="M113" s="2"/>
      <c r="N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spans="6:31" ht="12.5" x14ac:dyDescent="0.25">
      <c r="F114" s="2"/>
      <c r="I114" s="2"/>
      <c r="J114" s="2"/>
      <c r="M114" s="2"/>
      <c r="N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spans="6:31" ht="12.5" x14ac:dyDescent="0.25">
      <c r="F115" s="2"/>
      <c r="I115" s="2"/>
      <c r="J115" s="2"/>
      <c r="M115" s="2"/>
      <c r="N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spans="6:31" ht="12.5" x14ac:dyDescent="0.25">
      <c r="F116" s="2"/>
      <c r="I116" s="2"/>
      <c r="J116" s="2"/>
      <c r="M116" s="2"/>
      <c r="N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spans="6:31" ht="12.5" x14ac:dyDescent="0.25">
      <c r="F117" s="2"/>
      <c r="I117" s="2"/>
      <c r="J117" s="2"/>
      <c r="M117" s="2"/>
      <c r="N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spans="6:31" ht="12.5" x14ac:dyDescent="0.25">
      <c r="F118" s="2"/>
      <c r="I118" s="2"/>
      <c r="J118" s="2"/>
      <c r="M118" s="2"/>
      <c r="N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spans="6:31" ht="12.5" x14ac:dyDescent="0.25">
      <c r="F119" s="2"/>
      <c r="I119" s="2"/>
      <c r="J119" s="2"/>
      <c r="M119" s="2"/>
      <c r="N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6:31" ht="12.5" x14ac:dyDescent="0.25">
      <c r="F120" s="2"/>
      <c r="I120" s="2"/>
      <c r="J120" s="2"/>
      <c r="M120" s="2"/>
      <c r="N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spans="6:31" ht="12.5" x14ac:dyDescent="0.25">
      <c r="F121" s="2"/>
      <c r="I121" s="2"/>
      <c r="J121" s="2"/>
      <c r="M121" s="2"/>
      <c r="N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spans="6:31" ht="12.5" x14ac:dyDescent="0.25">
      <c r="F122" s="2"/>
      <c r="I122" s="2"/>
      <c r="J122" s="2"/>
      <c r="M122" s="2"/>
      <c r="N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spans="6:31" ht="12.5" x14ac:dyDescent="0.25">
      <c r="F123" s="2"/>
      <c r="I123" s="2"/>
      <c r="J123" s="2"/>
      <c r="M123" s="2"/>
      <c r="N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spans="6:31" ht="12.5" x14ac:dyDescent="0.25">
      <c r="F124" s="2"/>
      <c r="I124" s="2"/>
      <c r="J124" s="2"/>
      <c r="M124" s="2"/>
      <c r="N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spans="6:31" ht="12.5" x14ac:dyDescent="0.25">
      <c r="F125" s="2"/>
      <c r="I125" s="2"/>
      <c r="J125" s="2"/>
      <c r="M125" s="2"/>
      <c r="N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spans="6:31" ht="12.5" x14ac:dyDescent="0.25">
      <c r="F126" s="2"/>
      <c r="I126" s="2"/>
      <c r="J126" s="2"/>
      <c r="M126" s="2"/>
      <c r="N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spans="6:31" ht="12.5" x14ac:dyDescent="0.25">
      <c r="F127" s="2"/>
      <c r="I127" s="2"/>
      <c r="J127" s="2"/>
      <c r="M127" s="2"/>
      <c r="N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spans="6:31" ht="12.5" x14ac:dyDescent="0.25">
      <c r="F128" s="2"/>
      <c r="I128" s="2"/>
      <c r="J128" s="2"/>
      <c r="M128" s="2"/>
      <c r="N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spans="6:31" ht="12.5" x14ac:dyDescent="0.25">
      <c r="F129" s="2"/>
      <c r="I129" s="2"/>
      <c r="J129" s="2"/>
      <c r="M129" s="2"/>
      <c r="N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spans="6:31" ht="12.5" x14ac:dyDescent="0.25">
      <c r="F130" s="2"/>
      <c r="I130" s="2"/>
      <c r="J130" s="2"/>
      <c r="M130" s="2"/>
      <c r="N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spans="6:31" ht="12.5" x14ac:dyDescent="0.25">
      <c r="F131" s="2"/>
      <c r="I131" s="2"/>
      <c r="J131" s="2"/>
      <c r="M131" s="2"/>
      <c r="N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spans="6:31" ht="12.5" x14ac:dyDescent="0.25">
      <c r="F132" s="2"/>
      <c r="I132" s="2"/>
      <c r="J132" s="2"/>
      <c r="M132" s="2"/>
      <c r="N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spans="6:31" ht="12.5" x14ac:dyDescent="0.25">
      <c r="F133" s="2"/>
      <c r="I133" s="2"/>
      <c r="J133" s="2"/>
      <c r="M133" s="2"/>
      <c r="N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spans="6:31" ht="12.5" x14ac:dyDescent="0.25">
      <c r="F134" s="2"/>
      <c r="I134" s="2"/>
      <c r="J134" s="2"/>
      <c r="M134" s="2"/>
      <c r="N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spans="6:31" ht="12.5" x14ac:dyDescent="0.25">
      <c r="F135" s="2"/>
      <c r="I135" s="2"/>
      <c r="J135" s="2"/>
      <c r="M135" s="2"/>
      <c r="N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spans="6:31" ht="12.5" x14ac:dyDescent="0.25">
      <c r="F136" s="2"/>
      <c r="I136" s="2"/>
      <c r="J136" s="2"/>
      <c r="M136" s="2"/>
      <c r="N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spans="6:31" ht="12.5" x14ac:dyDescent="0.25">
      <c r="F137" s="2"/>
      <c r="I137" s="2"/>
      <c r="J137" s="2"/>
      <c r="M137" s="2"/>
      <c r="N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spans="6:31" ht="12.5" x14ac:dyDescent="0.25">
      <c r="F138" s="2"/>
      <c r="I138" s="2"/>
      <c r="J138" s="2"/>
      <c r="M138" s="2"/>
      <c r="N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spans="6:31" ht="12.5" x14ac:dyDescent="0.25">
      <c r="F139" s="2"/>
      <c r="I139" s="2"/>
      <c r="J139" s="2"/>
      <c r="M139" s="2"/>
      <c r="N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spans="6:31" ht="12.5" x14ac:dyDescent="0.25">
      <c r="F140" s="2"/>
      <c r="I140" s="2"/>
      <c r="J140" s="2"/>
      <c r="M140" s="2"/>
      <c r="N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spans="6:31" ht="12.5" x14ac:dyDescent="0.25">
      <c r="F141" s="2"/>
      <c r="I141" s="2"/>
      <c r="J141" s="2"/>
      <c r="M141" s="2"/>
      <c r="N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spans="6:31" ht="12.5" x14ac:dyDescent="0.25">
      <c r="F142" s="2"/>
      <c r="I142" s="2"/>
      <c r="J142" s="2"/>
      <c r="M142" s="2"/>
      <c r="N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spans="6:31" ht="12.5" x14ac:dyDescent="0.25">
      <c r="F143" s="2"/>
      <c r="I143" s="2"/>
      <c r="J143" s="2"/>
      <c r="M143" s="2"/>
      <c r="N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spans="6:31" ht="12.5" x14ac:dyDescent="0.25">
      <c r="F144" s="2"/>
      <c r="I144" s="2"/>
      <c r="J144" s="2"/>
      <c r="M144" s="2"/>
      <c r="N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spans="6:31" ht="12.5" x14ac:dyDescent="0.25">
      <c r="F145" s="2"/>
      <c r="I145" s="2"/>
      <c r="J145" s="2"/>
      <c r="M145" s="2"/>
      <c r="N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spans="6:31" ht="12.5" x14ac:dyDescent="0.25">
      <c r="F146" s="2"/>
      <c r="I146" s="2"/>
      <c r="J146" s="2"/>
      <c r="M146" s="2"/>
      <c r="N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spans="6:31" ht="12.5" x14ac:dyDescent="0.25">
      <c r="F147" s="2"/>
      <c r="I147" s="2"/>
      <c r="J147" s="2"/>
      <c r="M147" s="2"/>
      <c r="N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spans="6:31" ht="12.5" x14ac:dyDescent="0.25">
      <c r="F148" s="2"/>
      <c r="I148" s="2"/>
      <c r="J148" s="2"/>
      <c r="M148" s="2"/>
      <c r="N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6:31" ht="12.5" x14ac:dyDescent="0.25">
      <c r="F149" s="2"/>
      <c r="I149" s="2"/>
      <c r="J149" s="2"/>
      <c r="M149" s="2"/>
      <c r="N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6:31" ht="12.5" x14ac:dyDescent="0.25">
      <c r="F150" s="2"/>
      <c r="I150" s="2"/>
      <c r="J150" s="2"/>
      <c r="M150" s="2"/>
      <c r="N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spans="6:31" ht="12.5" x14ac:dyDescent="0.25">
      <c r="F151" s="2"/>
      <c r="I151" s="2"/>
      <c r="J151" s="2"/>
      <c r="M151" s="2"/>
      <c r="N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spans="6:31" ht="12.5" x14ac:dyDescent="0.25">
      <c r="F152" s="2"/>
      <c r="I152" s="2"/>
      <c r="J152" s="2"/>
      <c r="M152" s="2"/>
      <c r="N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spans="6:31" ht="12.5" x14ac:dyDescent="0.25">
      <c r="F153" s="2"/>
      <c r="I153" s="2"/>
      <c r="J153" s="2"/>
      <c r="M153" s="2"/>
      <c r="N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spans="6:31" ht="12.5" x14ac:dyDescent="0.25">
      <c r="F154" s="2"/>
      <c r="I154" s="2"/>
      <c r="J154" s="2"/>
      <c r="M154" s="2"/>
      <c r="N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spans="6:31" ht="12.5" x14ac:dyDescent="0.25">
      <c r="F155" s="2"/>
      <c r="I155" s="2"/>
      <c r="J155" s="2"/>
      <c r="M155" s="2"/>
      <c r="N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spans="6:31" ht="12.5" x14ac:dyDescent="0.25">
      <c r="F156" s="2"/>
      <c r="I156" s="2"/>
      <c r="J156" s="2"/>
      <c r="M156" s="2"/>
      <c r="N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6:31" ht="12.5" x14ac:dyDescent="0.25">
      <c r="F157" s="2"/>
      <c r="I157" s="2"/>
      <c r="J157" s="2"/>
      <c r="M157" s="2"/>
      <c r="N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6:31" ht="12.5" x14ac:dyDescent="0.25">
      <c r="F158" s="2"/>
      <c r="I158" s="2"/>
      <c r="J158" s="2"/>
      <c r="M158" s="2"/>
      <c r="N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6:31" ht="12.5" x14ac:dyDescent="0.25">
      <c r="F159" s="2"/>
      <c r="I159" s="2"/>
      <c r="J159" s="2"/>
      <c r="M159" s="2"/>
      <c r="N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6:31" ht="12.5" x14ac:dyDescent="0.25">
      <c r="F160" s="2"/>
      <c r="I160" s="2"/>
      <c r="J160" s="2"/>
      <c r="M160" s="2"/>
      <c r="N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6:31" ht="12.5" x14ac:dyDescent="0.25">
      <c r="F161" s="2"/>
      <c r="I161" s="2"/>
      <c r="J161" s="2"/>
      <c r="M161" s="2"/>
      <c r="N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6:31" ht="12.5" x14ac:dyDescent="0.25">
      <c r="F162" s="2"/>
      <c r="I162" s="2"/>
      <c r="J162" s="2"/>
      <c r="M162" s="2"/>
      <c r="N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6:31" ht="12.5" x14ac:dyDescent="0.25">
      <c r="F163" s="2"/>
      <c r="I163" s="2"/>
      <c r="J163" s="2"/>
      <c r="M163" s="2"/>
      <c r="N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spans="6:31" ht="12.5" x14ac:dyDescent="0.25">
      <c r="F164" s="2"/>
      <c r="I164" s="2"/>
      <c r="J164" s="2"/>
      <c r="M164" s="2"/>
      <c r="N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6:31" ht="12.5" x14ac:dyDescent="0.25">
      <c r="F165" s="2"/>
      <c r="I165" s="2"/>
      <c r="J165" s="2"/>
      <c r="M165" s="2"/>
      <c r="N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6:31" ht="12.5" x14ac:dyDescent="0.25">
      <c r="F166" s="2"/>
      <c r="I166" s="2"/>
      <c r="J166" s="2"/>
      <c r="M166" s="2"/>
      <c r="N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6:31" ht="12.5" x14ac:dyDescent="0.25">
      <c r="F167" s="2"/>
      <c r="I167" s="2"/>
      <c r="J167" s="2"/>
      <c r="M167" s="2"/>
      <c r="N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6:31" ht="12.5" x14ac:dyDescent="0.25">
      <c r="F168" s="2"/>
      <c r="I168" s="2"/>
      <c r="J168" s="2"/>
      <c r="M168" s="2"/>
      <c r="N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6:31" ht="12.5" x14ac:dyDescent="0.25">
      <c r="F169" s="2"/>
      <c r="I169" s="2"/>
      <c r="J169" s="2"/>
      <c r="M169" s="2"/>
      <c r="N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6:31" ht="12.5" x14ac:dyDescent="0.25">
      <c r="F170" s="2"/>
      <c r="I170" s="2"/>
      <c r="J170" s="2"/>
      <c r="M170" s="2"/>
      <c r="N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6:31" ht="12.5" x14ac:dyDescent="0.25">
      <c r="F171" s="2"/>
      <c r="I171" s="2"/>
      <c r="J171" s="2"/>
      <c r="M171" s="2"/>
      <c r="N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6:31" ht="12.5" x14ac:dyDescent="0.25">
      <c r="F172" s="2"/>
      <c r="I172" s="2"/>
      <c r="J172" s="2"/>
      <c r="M172" s="2"/>
      <c r="N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6:31" ht="12.5" x14ac:dyDescent="0.25">
      <c r="F173" s="2"/>
      <c r="I173" s="2"/>
      <c r="J173" s="2"/>
      <c r="M173" s="2"/>
      <c r="N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6:31" ht="12.5" x14ac:dyDescent="0.25">
      <c r="F174" s="2"/>
      <c r="I174" s="2"/>
      <c r="J174" s="2"/>
      <c r="M174" s="2"/>
      <c r="N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spans="6:31" ht="12.5" x14ac:dyDescent="0.25">
      <c r="F175" s="2"/>
      <c r="I175" s="2"/>
      <c r="J175" s="2"/>
      <c r="M175" s="2"/>
      <c r="N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spans="6:31" ht="12.5" x14ac:dyDescent="0.25">
      <c r="F176" s="2"/>
      <c r="I176" s="2"/>
      <c r="J176" s="2"/>
      <c r="M176" s="2"/>
      <c r="N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spans="6:31" ht="12.5" x14ac:dyDescent="0.25">
      <c r="F177" s="2"/>
      <c r="I177" s="2"/>
      <c r="J177" s="2"/>
      <c r="M177" s="2"/>
      <c r="N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spans="6:31" ht="12.5" x14ac:dyDescent="0.25">
      <c r="F178" s="2"/>
      <c r="I178" s="2"/>
      <c r="J178" s="2"/>
      <c r="M178" s="2"/>
      <c r="N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spans="6:31" ht="12.5" x14ac:dyDescent="0.25">
      <c r="F179" s="2"/>
      <c r="I179" s="2"/>
      <c r="J179" s="2"/>
      <c r="M179" s="2"/>
      <c r="N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spans="6:31" ht="12.5" x14ac:dyDescent="0.25">
      <c r="F180" s="2"/>
      <c r="I180" s="2"/>
      <c r="J180" s="2"/>
      <c r="M180" s="2"/>
      <c r="N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spans="6:31" ht="12.5" x14ac:dyDescent="0.25">
      <c r="F181" s="2"/>
      <c r="I181" s="2"/>
      <c r="J181" s="2"/>
      <c r="M181" s="2"/>
      <c r="N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spans="6:31" ht="12.5" x14ac:dyDescent="0.25">
      <c r="F182" s="2"/>
      <c r="I182" s="2"/>
      <c r="J182" s="2"/>
      <c r="M182" s="2"/>
      <c r="N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spans="6:31" ht="12.5" x14ac:dyDescent="0.25">
      <c r="F183" s="2"/>
      <c r="I183" s="2"/>
      <c r="J183" s="2"/>
      <c r="M183" s="2"/>
      <c r="N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spans="6:31" ht="12.5" x14ac:dyDescent="0.25">
      <c r="F184" s="2"/>
      <c r="I184" s="2"/>
      <c r="J184" s="2"/>
      <c r="M184" s="2"/>
      <c r="N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spans="6:31" ht="12.5" x14ac:dyDescent="0.25">
      <c r="F185" s="2"/>
      <c r="I185" s="2"/>
      <c r="J185" s="2"/>
      <c r="M185" s="2"/>
      <c r="N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spans="6:31" ht="12.5" x14ac:dyDescent="0.25">
      <c r="F186" s="2"/>
      <c r="I186" s="2"/>
      <c r="J186" s="2"/>
      <c r="M186" s="2"/>
      <c r="N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spans="6:31" ht="12.5" x14ac:dyDescent="0.25">
      <c r="F187" s="2"/>
      <c r="I187" s="2"/>
      <c r="J187" s="2"/>
      <c r="M187" s="2"/>
      <c r="N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spans="6:31" ht="12.5" x14ac:dyDescent="0.25">
      <c r="F188" s="2"/>
      <c r="I188" s="2"/>
      <c r="J188" s="2"/>
      <c r="M188" s="2"/>
      <c r="N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spans="6:31" ht="12.5" x14ac:dyDescent="0.25">
      <c r="F189" s="2"/>
      <c r="I189" s="2"/>
      <c r="J189" s="2"/>
      <c r="M189" s="2"/>
      <c r="N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spans="6:31" ht="12.5" x14ac:dyDescent="0.25">
      <c r="F190" s="2"/>
      <c r="I190" s="2"/>
      <c r="J190" s="2"/>
      <c r="M190" s="2"/>
      <c r="N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spans="6:31" ht="12.5" x14ac:dyDescent="0.25">
      <c r="F191" s="2"/>
      <c r="I191" s="2"/>
      <c r="J191" s="2"/>
      <c r="M191" s="2"/>
      <c r="N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spans="6:31" ht="12.5" x14ac:dyDescent="0.25">
      <c r="F192" s="2"/>
      <c r="I192" s="2"/>
      <c r="J192" s="2"/>
      <c r="M192" s="2"/>
      <c r="N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6:31" ht="12.5" x14ac:dyDescent="0.25">
      <c r="F193" s="2"/>
      <c r="I193" s="2"/>
      <c r="J193" s="2"/>
      <c r="M193" s="2"/>
      <c r="N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spans="6:31" ht="12.5" x14ac:dyDescent="0.25">
      <c r="F194" s="2"/>
      <c r="I194" s="2"/>
      <c r="J194" s="2"/>
      <c r="M194" s="2"/>
      <c r="N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spans="6:31" ht="12.5" x14ac:dyDescent="0.25">
      <c r="F195" s="2"/>
      <c r="I195" s="2"/>
      <c r="J195" s="2"/>
      <c r="M195" s="2"/>
      <c r="N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spans="6:31" ht="12.5" x14ac:dyDescent="0.25">
      <c r="F196" s="2"/>
      <c r="I196" s="2"/>
      <c r="J196" s="2"/>
      <c r="M196" s="2"/>
      <c r="N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spans="6:31" ht="12.5" x14ac:dyDescent="0.25">
      <c r="F197" s="2"/>
      <c r="I197" s="2"/>
      <c r="J197" s="2"/>
      <c r="M197" s="2"/>
      <c r="N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spans="6:31" ht="12.5" x14ac:dyDescent="0.25">
      <c r="F198" s="2"/>
      <c r="I198" s="2"/>
      <c r="J198" s="2"/>
      <c r="M198" s="2"/>
      <c r="N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spans="6:31" ht="12.5" x14ac:dyDescent="0.25">
      <c r="F199" s="2"/>
      <c r="I199" s="2"/>
      <c r="J199" s="2"/>
      <c r="M199" s="2"/>
      <c r="N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spans="6:31" ht="12.5" x14ac:dyDescent="0.25">
      <c r="F200" s="2"/>
      <c r="I200" s="2"/>
      <c r="J200" s="2"/>
      <c r="M200" s="2"/>
      <c r="N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spans="6:31" ht="12.5" x14ac:dyDescent="0.25">
      <c r="F201" s="2"/>
      <c r="I201" s="2"/>
      <c r="J201" s="2"/>
      <c r="M201" s="2"/>
      <c r="N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spans="6:31" ht="12.5" x14ac:dyDescent="0.25">
      <c r="F202" s="2"/>
      <c r="I202" s="2"/>
      <c r="J202" s="2"/>
      <c r="M202" s="2"/>
      <c r="N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spans="6:31" ht="12.5" x14ac:dyDescent="0.25">
      <c r="F203" s="2"/>
      <c r="I203" s="2"/>
      <c r="J203" s="2"/>
      <c r="M203" s="2"/>
      <c r="N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spans="6:31" ht="12.5" x14ac:dyDescent="0.25">
      <c r="F204" s="2"/>
      <c r="I204" s="2"/>
      <c r="J204" s="2"/>
      <c r="M204" s="2"/>
      <c r="N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spans="6:31" ht="12.5" x14ac:dyDescent="0.25">
      <c r="F205" s="2"/>
      <c r="I205" s="2"/>
      <c r="J205" s="2"/>
      <c r="M205" s="2"/>
      <c r="N205" s="2"/>
      <c r="W205" s="2"/>
      <c r="X205" s="2"/>
      <c r="Y205" s="2"/>
      <c r="Z205" s="2"/>
      <c r="AA205" s="2"/>
      <c r="AB205" s="2"/>
      <c r="AC205" s="2"/>
      <c r="AD205" s="2"/>
      <c r="AE205" s="2"/>
    </row>
    <row r="206" spans="6:31" ht="12.5" x14ac:dyDescent="0.25">
      <c r="F206" s="2"/>
      <c r="I206" s="2"/>
      <c r="J206" s="2"/>
      <c r="M206" s="2"/>
      <c r="N206" s="2"/>
      <c r="W206" s="2"/>
      <c r="X206" s="2"/>
      <c r="Y206" s="2"/>
      <c r="Z206" s="2"/>
      <c r="AA206" s="2"/>
      <c r="AB206" s="2"/>
      <c r="AC206" s="2"/>
      <c r="AD206" s="2"/>
      <c r="AE206" s="2"/>
    </row>
    <row r="207" spans="6:31" ht="12.5" x14ac:dyDescent="0.25">
      <c r="F207" s="2"/>
      <c r="I207" s="2"/>
      <c r="J207" s="2"/>
      <c r="M207" s="2"/>
      <c r="N207" s="2"/>
      <c r="W207" s="2"/>
      <c r="X207" s="2"/>
      <c r="Y207" s="2"/>
      <c r="Z207" s="2"/>
      <c r="AA207" s="2"/>
      <c r="AB207" s="2"/>
      <c r="AC207" s="2"/>
      <c r="AD207" s="2"/>
      <c r="AE207" s="2"/>
    </row>
    <row r="208" spans="6:31" ht="12.5" x14ac:dyDescent="0.25">
      <c r="F208" s="2"/>
      <c r="I208" s="2"/>
      <c r="J208" s="2"/>
      <c r="M208" s="2"/>
      <c r="N208" s="2"/>
      <c r="W208" s="2"/>
      <c r="X208" s="2"/>
      <c r="Y208" s="2"/>
      <c r="Z208" s="2"/>
      <c r="AA208" s="2"/>
      <c r="AB208" s="2"/>
      <c r="AC208" s="2"/>
      <c r="AD208" s="2"/>
      <c r="AE208" s="2"/>
    </row>
    <row r="209" spans="6:31" ht="12.5" x14ac:dyDescent="0.25">
      <c r="F209" s="2"/>
      <c r="I209" s="2"/>
      <c r="J209" s="2"/>
      <c r="M209" s="2"/>
      <c r="N209" s="2"/>
      <c r="W209" s="2"/>
      <c r="X209" s="2"/>
      <c r="Y209" s="2"/>
      <c r="Z209" s="2"/>
      <c r="AA209" s="2"/>
      <c r="AB209" s="2"/>
      <c r="AC209" s="2"/>
      <c r="AD209" s="2"/>
      <c r="AE209" s="2"/>
    </row>
    <row r="210" spans="6:31" ht="12.5" x14ac:dyDescent="0.25">
      <c r="F210" s="2"/>
      <c r="I210" s="2"/>
      <c r="J210" s="2"/>
      <c r="M210" s="2"/>
      <c r="N210" s="2"/>
      <c r="W210" s="2"/>
      <c r="X210" s="2"/>
      <c r="Y210" s="2"/>
      <c r="Z210" s="2"/>
      <c r="AA210" s="2"/>
      <c r="AB210" s="2"/>
      <c r="AC210" s="2"/>
      <c r="AD210" s="2"/>
      <c r="AE210" s="2"/>
    </row>
    <row r="211" spans="6:31" ht="12.5" x14ac:dyDescent="0.25">
      <c r="F211" s="2"/>
      <c r="I211" s="2"/>
      <c r="J211" s="2"/>
      <c r="M211" s="2"/>
      <c r="N211" s="2"/>
      <c r="W211" s="2"/>
      <c r="X211" s="2"/>
      <c r="Y211" s="2"/>
      <c r="Z211" s="2"/>
      <c r="AA211" s="2"/>
      <c r="AB211" s="2"/>
      <c r="AC211" s="2"/>
      <c r="AD211" s="2"/>
      <c r="AE211" s="2"/>
    </row>
    <row r="212" spans="6:31" ht="12.5" x14ac:dyDescent="0.25">
      <c r="F212" s="2"/>
      <c r="I212" s="2"/>
      <c r="J212" s="2"/>
      <c r="M212" s="2"/>
      <c r="N212" s="2"/>
      <c r="W212" s="2"/>
      <c r="X212" s="2"/>
      <c r="Y212" s="2"/>
      <c r="Z212" s="2"/>
      <c r="AA212" s="2"/>
      <c r="AB212" s="2"/>
      <c r="AC212" s="2"/>
      <c r="AD212" s="2"/>
      <c r="AE212" s="2"/>
    </row>
    <row r="213" spans="6:31" ht="12.5" x14ac:dyDescent="0.25">
      <c r="F213" s="2"/>
      <c r="I213" s="2"/>
      <c r="J213" s="2"/>
      <c r="M213" s="2"/>
      <c r="N213" s="2"/>
      <c r="W213" s="2"/>
      <c r="X213" s="2"/>
      <c r="Y213" s="2"/>
      <c r="Z213" s="2"/>
      <c r="AA213" s="2"/>
      <c r="AB213" s="2"/>
      <c r="AC213" s="2"/>
      <c r="AD213" s="2"/>
      <c r="AE213" s="2"/>
    </row>
    <row r="214" spans="6:31" ht="12.5" x14ac:dyDescent="0.25">
      <c r="F214" s="2"/>
      <c r="I214" s="2"/>
      <c r="J214" s="2"/>
      <c r="M214" s="2"/>
      <c r="N214" s="2"/>
      <c r="W214" s="2"/>
      <c r="X214" s="2"/>
      <c r="Y214" s="2"/>
      <c r="Z214" s="2"/>
      <c r="AA214" s="2"/>
      <c r="AB214" s="2"/>
      <c r="AC214" s="2"/>
      <c r="AD214" s="2"/>
      <c r="AE214" s="2"/>
    </row>
    <row r="215" spans="6:31" ht="12.5" x14ac:dyDescent="0.25">
      <c r="F215" s="2"/>
      <c r="I215" s="2"/>
      <c r="J215" s="2"/>
      <c r="M215" s="2"/>
      <c r="N215" s="2"/>
      <c r="W215" s="2"/>
      <c r="X215" s="2"/>
      <c r="Y215" s="2"/>
      <c r="Z215" s="2"/>
      <c r="AA215" s="2"/>
      <c r="AB215" s="2"/>
      <c r="AC215" s="2"/>
      <c r="AD215" s="2"/>
      <c r="AE215" s="2"/>
    </row>
    <row r="216" spans="6:31" ht="12.5" x14ac:dyDescent="0.25">
      <c r="F216" s="2"/>
      <c r="I216" s="2"/>
      <c r="J216" s="2"/>
      <c r="M216" s="2"/>
      <c r="N216" s="2"/>
      <c r="W216" s="2"/>
      <c r="X216" s="2"/>
      <c r="Y216" s="2"/>
      <c r="Z216" s="2"/>
      <c r="AA216" s="2"/>
      <c r="AB216" s="2"/>
      <c r="AC216" s="2"/>
      <c r="AD216" s="2"/>
      <c r="AE216" s="2"/>
    </row>
    <row r="217" spans="6:31" ht="12.5" x14ac:dyDescent="0.25">
      <c r="F217" s="2"/>
      <c r="I217" s="2"/>
      <c r="J217" s="2"/>
      <c r="M217" s="2"/>
      <c r="N217" s="2"/>
      <c r="W217" s="2"/>
      <c r="X217" s="2"/>
      <c r="Y217" s="2"/>
      <c r="Z217" s="2"/>
      <c r="AA217" s="2"/>
      <c r="AB217" s="2"/>
      <c r="AC217" s="2"/>
      <c r="AD217" s="2"/>
      <c r="AE217" s="2"/>
    </row>
    <row r="218" spans="6:31" ht="12.5" x14ac:dyDescent="0.25">
      <c r="F218" s="2"/>
      <c r="I218" s="2"/>
      <c r="J218" s="2"/>
      <c r="M218" s="2"/>
      <c r="N218" s="2"/>
      <c r="W218" s="2"/>
      <c r="X218" s="2"/>
      <c r="Y218" s="2"/>
      <c r="Z218" s="2"/>
      <c r="AA218" s="2"/>
      <c r="AB218" s="2"/>
      <c r="AC218" s="2"/>
      <c r="AD218" s="2"/>
      <c r="AE218" s="2"/>
    </row>
    <row r="219" spans="6:31" ht="12.5" x14ac:dyDescent="0.25">
      <c r="F219" s="2"/>
      <c r="I219" s="2"/>
      <c r="J219" s="2"/>
      <c r="M219" s="2"/>
      <c r="N219" s="2"/>
      <c r="W219" s="2"/>
      <c r="X219" s="2"/>
      <c r="Y219" s="2"/>
      <c r="Z219" s="2"/>
      <c r="AA219" s="2"/>
      <c r="AB219" s="2"/>
      <c r="AC219" s="2"/>
      <c r="AD219" s="2"/>
      <c r="AE219" s="2"/>
    </row>
    <row r="220" spans="6:31" ht="12.5" x14ac:dyDescent="0.25">
      <c r="F220" s="2"/>
      <c r="I220" s="2"/>
      <c r="J220" s="2"/>
      <c r="M220" s="2"/>
      <c r="N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spans="6:31" ht="12.5" x14ac:dyDescent="0.25">
      <c r="F221" s="2"/>
      <c r="I221" s="2"/>
      <c r="J221" s="2"/>
      <c r="M221" s="2"/>
      <c r="N221" s="2"/>
      <c r="W221" s="2"/>
      <c r="X221" s="2"/>
      <c r="Y221" s="2"/>
      <c r="Z221" s="2"/>
      <c r="AA221" s="2"/>
      <c r="AB221" s="2"/>
      <c r="AC221" s="2"/>
      <c r="AD221" s="2"/>
      <c r="AE221" s="2"/>
    </row>
    <row r="222" spans="6:31" ht="12.5" x14ac:dyDescent="0.25">
      <c r="F222" s="2"/>
      <c r="I222" s="2"/>
      <c r="J222" s="2"/>
      <c r="M222" s="2"/>
      <c r="N222" s="2"/>
      <c r="W222" s="2"/>
      <c r="X222" s="2"/>
      <c r="Y222" s="2"/>
      <c r="Z222" s="2"/>
      <c r="AA222" s="2"/>
      <c r="AB222" s="2"/>
      <c r="AC222" s="2"/>
      <c r="AD222" s="2"/>
      <c r="AE222" s="2"/>
    </row>
    <row r="223" spans="6:31" ht="12.5" x14ac:dyDescent="0.25">
      <c r="F223" s="2"/>
      <c r="I223" s="2"/>
      <c r="J223" s="2"/>
      <c r="M223" s="2"/>
      <c r="N223" s="2"/>
      <c r="W223" s="2"/>
      <c r="X223" s="2"/>
      <c r="Y223" s="2"/>
      <c r="Z223" s="2"/>
      <c r="AA223" s="2"/>
      <c r="AB223" s="2"/>
      <c r="AC223" s="2"/>
      <c r="AD223" s="2"/>
      <c r="AE223" s="2"/>
    </row>
    <row r="224" spans="6:31" ht="12.5" x14ac:dyDescent="0.25">
      <c r="F224" s="2"/>
      <c r="I224" s="2"/>
      <c r="J224" s="2"/>
      <c r="M224" s="2"/>
      <c r="N224" s="2"/>
      <c r="W224" s="2"/>
      <c r="X224" s="2"/>
      <c r="Y224" s="2"/>
      <c r="Z224" s="2"/>
      <c r="AA224" s="2"/>
      <c r="AB224" s="2"/>
      <c r="AC224" s="2"/>
      <c r="AD224" s="2"/>
      <c r="AE224" s="2"/>
    </row>
    <row r="225" spans="6:31" ht="12.5" x14ac:dyDescent="0.25">
      <c r="F225" s="2"/>
      <c r="I225" s="2"/>
      <c r="J225" s="2"/>
      <c r="M225" s="2"/>
      <c r="N225" s="2"/>
      <c r="W225" s="2"/>
      <c r="X225" s="2"/>
      <c r="Y225" s="2"/>
      <c r="Z225" s="2"/>
      <c r="AA225" s="2"/>
      <c r="AB225" s="2"/>
      <c r="AC225" s="2"/>
      <c r="AD225" s="2"/>
      <c r="AE225" s="2"/>
    </row>
    <row r="226" spans="6:31" ht="12.5" x14ac:dyDescent="0.25">
      <c r="F226" s="2"/>
      <c r="I226" s="2"/>
      <c r="J226" s="2"/>
      <c r="M226" s="2"/>
      <c r="N226" s="2"/>
      <c r="W226" s="2"/>
      <c r="X226" s="2"/>
      <c r="Y226" s="2"/>
      <c r="Z226" s="2"/>
      <c r="AA226" s="2"/>
      <c r="AB226" s="2"/>
      <c r="AC226" s="2"/>
      <c r="AD226" s="2"/>
      <c r="AE226" s="2"/>
    </row>
    <row r="227" spans="6:31" ht="12.5" x14ac:dyDescent="0.25">
      <c r="F227" s="2"/>
      <c r="I227" s="2"/>
      <c r="J227" s="2"/>
      <c r="M227" s="2"/>
      <c r="N227" s="2"/>
      <c r="W227" s="2"/>
      <c r="X227" s="2"/>
      <c r="Y227" s="2"/>
      <c r="Z227" s="2"/>
      <c r="AA227" s="2"/>
      <c r="AB227" s="2"/>
      <c r="AC227" s="2"/>
      <c r="AD227" s="2"/>
      <c r="AE227" s="2"/>
    </row>
    <row r="228" spans="6:31" ht="12.5" x14ac:dyDescent="0.25">
      <c r="F228" s="2"/>
      <c r="I228" s="2"/>
      <c r="J228" s="2"/>
      <c r="M228" s="2"/>
      <c r="N228" s="2"/>
      <c r="W228" s="2"/>
      <c r="X228" s="2"/>
      <c r="Y228" s="2"/>
      <c r="Z228" s="2"/>
      <c r="AA228" s="2"/>
      <c r="AB228" s="2"/>
      <c r="AC228" s="2"/>
      <c r="AD228" s="2"/>
      <c r="AE228" s="2"/>
    </row>
    <row r="229" spans="6:31" ht="12.5" x14ac:dyDescent="0.25">
      <c r="F229" s="2"/>
      <c r="I229" s="2"/>
      <c r="J229" s="2"/>
      <c r="M229" s="2"/>
      <c r="N229" s="2"/>
      <c r="W229" s="2"/>
      <c r="X229" s="2"/>
      <c r="Y229" s="2"/>
      <c r="Z229" s="2"/>
      <c r="AA229" s="2"/>
      <c r="AB229" s="2"/>
      <c r="AC229" s="2"/>
      <c r="AD229" s="2"/>
      <c r="AE229" s="2"/>
    </row>
    <row r="230" spans="6:31" ht="12.5" x14ac:dyDescent="0.25">
      <c r="F230" s="2"/>
      <c r="I230" s="2"/>
      <c r="J230" s="2"/>
      <c r="M230" s="2"/>
      <c r="N230" s="2"/>
      <c r="W230" s="2"/>
      <c r="X230" s="2"/>
      <c r="Y230" s="2"/>
      <c r="Z230" s="2"/>
      <c r="AA230" s="2"/>
      <c r="AB230" s="2"/>
      <c r="AC230" s="2"/>
      <c r="AD230" s="2"/>
      <c r="AE230" s="2"/>
    </row>
    <row r="231" spans="6:31" ht="12.5" x14ac:dyDescent="0.25">
      <c r="F231" s="2"/>
      <c r="I231" s="2"/>
      <c r="J231" s="2"/>
      <c r="M231" s="2"/>
      <c r="N231" s="2"/>
      <c r="W231" s="2"/>
      <c r="X231" s="2"/>
      <c r="Y231" s="2"/>
      <c r="Z231" s="2"/>
      <c r="AA231" s="2"/>
      <c r="AB231" s="2"/>
      <c r="AC231" s="2"/>
      <c r="AD231" s="2"/>
      <c r="AE231" s="2"/>
    </row>
    <row r="232" spans="6:31" ht="12.5" x14ac:dyDescent="0.25">
      <c r="F232" s="2"/>
      <c r="I232" s="2"/>
      <c r="J232" s="2"/>
      <c r="M232" s="2"/>
      <c r="N232" s="2"/>
      <c r="W232" s="2"/>
      <c r="X232" s="2"/>
      <c r="Y232" s="2"/>
      <c r="Z232" s="2"/>
      <c r="AA232" s="2"/>
      <c r="AB232" s="2"/>
      <c r="AC232" s="2"/>
      <c r="AD232" s="2"/>
      <c r="AE232" s="2"/>
    </row>
    <row r="233" spans="6:31" ht="12.5" x14ac:dyDescent="0.25">
      <c r="F233" s="2"/>
      <c r="I233" s="2"/>
      <c r="J233" s="2"/>
      <c r="M233" s="2"/>
      <c r="N233" s="2"/>
      <c r="W233" s="2"/>
      <c r="X233" s="2"/>
      <c r="Y233" s="2"/>
      <c r="Z233" s="2"/>
      <c r="AA233" s="2"/>
      <c r="AB233" s="2"/>
      <c r="AC233" s="2"/>
      <c r="AD233" s="2"/>
      <c r="AE233" s="2"/>
    </row>
    <row r="234" spans="6:31" ht="12.5" x14ac:dyDescent="0.25">
      <c r="F234" s="2"/>
      <c r="I234" s="2"/>
      <c r="J234" s="2"/>
      <c r="M234" s="2"/>
      <c r="N234" s="2"/>
      <c r="W234" s="2"/>
      <c r="X234" s="2"/>
      <c r="Y234" s="2"/>
      <c r="Z234" s="2"/>
      <c r="AA234" s="2"/>
      <c r="AB234" s="2"/>
      <c r="AC234" s="2"/>
      <c r="AD234" s="2"/>
      <c r="AE234" s="2"/>
    </row>
    <row r="235" spans="6:31" ht="12.5" x14ac:dyDescent="0.25">
      <c r="F235" s="2"/>
      <c r="I235" s="2"/>
      <c r="J235" s="2"/>
      <c r="M235" s="2"/>
      <c r="N235" s="2"/>
      <c r="W235" s="2"/>
      <c r="X235" s="2"/>
      <c r="Y235" s="2"/>
      <c r="Z235" s="2"/>
      <c r="AA235" s="2"/>
      <c r="AB235" s="2"/>
      <c r="AC235" s="2"/>
      <c r="AD235" s="2"/>
      <c r="AE235" s="2"/>
    </row>
    <row r="236" spans="6:31" ht="12.5" x14ac:dyDescent="0.25">
      <c r="F236" s="2"/>
      <c r="I236" s="2"/>
      <c r="J236" s="2"/>
      <c r="M236" s="2"/>
      <c r="N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spans="6:31" ht="12.5" x14ac:dyDescent="0.25">
      <c r="F237" s="2"/>
      <c r="I237" s="2"/>
      <c r="J237" s="2"/>
      <c r="M237" s="2"/>
      <c r="N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spans="6:31" ht="12.5" x14ac:dyDescent="0.25">
      <c r="F238" s="2"/>
      <c r="I238" s="2"/>
      <c r="J238" s="2"/>
      <c r="M238" s="2"/>
      <c r="N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spans="6:31" ht="12.5" x14ac:dyDescent="0.25">
      <c r="F239" s="2"/>
      <c r="I239" s="2"/>
      <c r="J239" s="2"/>
      <c r="M239" s="2"/>
      <c r="N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spans="6:31" ht="12.5" x14ac:dyDescent="0.25">
      <c r="F240" s="2"/>
      <c r="I240" s="2"/>
      <c r="J240" s="2"/>
      <c r="M240" s="2"/>
      <c r="N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spans="6:31" ht="12.5" x14ac:dyDescent="0.25">
      <c r="F241" s="2"/>
      <c r="I241" s="2"/>
      <c r="J241" s="2"/>
      <c r="M241" s="2"/>
      <c r="N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spans="6:31" ht="12.5" x14ac:dyDescent="0.25">
      <c r="F242" s="2"/>
      <c r="I242" s="2"/>
      <c r="J242" s="2"/>
      <c r="M242" s="2"/>
      <c r="N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spans="6:31" ht="12.5" x14ac:dyDescent="0.25">
      <c r="F243" s="2"/>
      <c r="I243" s="2"/>
      <c r="J243" s="2"/>
      <c r="M243" s="2"/>
      <c r="N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spans="6:31" ht="12.5" x14ac:dyDescent="0.25">
      <c r="F244" s="2"/>
      <c r="I244" s="2"/>
      <c r="J244" s="2"/>
      <c r="M244" s="2"/>
      <c r="N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spans="6:31" ht="12.5" x14ac:dyDescent="0.25">
      <c r="F245" s="2"/>
      <c r="I245" s="2"/>
      <c r="J245" s="2"/>
      <c r="M245" s="2"/>
      <c r="N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spans="6:31" ht="12.5" x14ac:dyDescent="0.25">
      <c r="F246" s="2"/>
      <c r="I246" s="2"/>
      <c r="J246" s="2"/>
      <c r="M246" s="2"/>
      <c r="N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spans="6:31" ht="12.5" x14ac:dyDescent="0.25">
      <c r="F247" s="2"/>
      <c r="I247" s="2"/>
      <c r="J247" s="2"/>
      <c r="M247" s="2"/>
      <c r="N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spans="6:31" ht="12.5" x14ac:dyDescent="0.25">
      <c r="F248" s="2"/>
      <c r="I248" s="2"/>
      <c r="J248" s="2"/>
      <c r="M248" s="2"/>
      <c r="N248" s="2"/>
      <c r="W248" s="2"/>
      <c r="X248" s="2"/>
      <c r="Y248" s="2"/>
      <c r="Z248" s="2"/>
      <c r="AA248" s="2"/>
      <c r="AB248" s="2"/>
      <c r="AC248" s="2"/>
      <c r="AD248" s="2"/>
      <c r="AE248" s="2"/>
    </row>
    <row r="249" spans="6:31" ht="12.5" x14ac:dyDescent="0.25">
      <c r="F249" s="2"/>
      <c r="I249" s="2"/>
      <c r="J249" s="2"/>
      <c r="M249" s="2"/>
      <c r="N249" s="2"/>
      <c r="W249" s="2"/>
      <c r="X249" s="2"/>
      <c r="Y249" s="2"/>
      <c r="Z249" s="2"/>
      <c r="AA249" s="2"/>
      <c r="AB249" s="2"/>
      <c r="AC249" s="2"/>
      <c r="AD249" s="2"/>
      <c r="AE249" s="2"/>
    </row>
    <row r="250" spans="6:31" ht="12.5" x14ac:dyDescent="0.25">
      <c r="F250" s="2"/>
      <c r="I250" s="2"/>
      <c r="J250" s="2"/>
      <c r="M250" s="2"/>
      <c r="N250" s="2"/>
      <c r="W250" s="2"/>
      <c r="X250" s="2"/>
      <c r="Y250" s="2"/>
      <c r="Z250" s="2"/>
      <c r="AA250" s="2"/>
      <c r="AB250" s="2"/>
      <c r="AC250" s="2"/>
      <c r="AD250" s="2"/>
      <c r="AE250" s="2"/>
    </row>
    <row r="251" spans="6:31" ht="12.5" x14ac:dyDescent="0.25">
      <c r="F251" s="2"/>
      <c r="I251" s="2"/>
      <c r="J251" s="2"/>
      <c r="M251" s="2"/>
      <c r="N251" s="2"/>
      <c r="W251" s="2"/>
      <c r="X251" s="2"/>
      <c r="Y251" s="2"/>
      <c r="Z251" s="2"/>
      <c r="AA251" s="2"/>
      <c r="AB251" s="2"/>
      <c r="AC251" s="2"/>
      <c r="AD251" s="2"/>
      <c r="AE251" s="2"/>
    </row>
    <row r="252" spans="6:31" ht="12.5" x14ac:dyDescent="0.25">
      <c r="F252" s="2"/>
      <c r="I252" s="2"/>
      <c r="J252" s="2"/>
      <c r="M252" s="2"/>
      <c r="N252" s="2"/>
      <c r="W252" s="2"/>
      <c r="X252" s="2"/>
      <c r="Y252" s="2"/>
      <c r="Z252" s="2"/>
      <c r="AA252" s="2"/>
      <c r="AB252" s="2"/>
      <c r="AC252" s="2"/>
      <c r="AD252" s="2"/>
      <c r="AE252" s="2"/>
    </row>
    <row r="253" spans="6:31" ht="12.5" x14ac:dyDescent="0.25">
      <c r="F253" s="2"/>
      <c r="I253" s="2"/>
      <c r="J253" s="2"/>
      <c r="M253" s="2"/>
      <c r="N253" s="2"/>
      <c r="W253" s="2"/>
      <c r="X253" s="2"/>
      <c r="Y253" s="2"/>
      <c r="Z253" s="2"/>
      <c r="AA253" s="2"/>
      <c r="AB253" s="2"/>
      <c r="AC253" s="2"/>
      <c r="AD253" s="2"/>
      <c r="AE253" s="2"/>
    </row>
    <row r="254" spans="6:31" ht="12.5" x14ac:dyDescent="0.25">
      <c r="F254" s="2"/>
      <c r="I254" s="2"/>
      <c r="J254" s="2"/>
      <c r="M254" s="2"/>
      <c r="N254" s="2"/>
      <c r="W254" s="2"/>
      <c r="X254" s="2"/>
      <c r="Y254" s="2"/>
      <c r="Z254" s="2"/>
      <c r="AA254" s="2"/>
      <c r="AB254" s="2"/>
      <c r="AC254" s="2"/>
      <c r="AD254" s="2"/>
      <c r="AE254" s="2"/>
    </row>
    <row r="255" spans="6:31" ht="12.5" x14ac:dyDescent="0.25">
      <c r="F255" s="2"/>
      <c r="I255" s="2"/>
      <c r="J255" s="2"/>
      <c r="M255" s="2"/>
      <c r="N255" s="2"/>
      <c r="W255" s="2"/>
      <c r="X255" s="2"/>
      <c r="Y255" s="2"/>
      <c r="Z255" s="2"/>
      <c r="AA255" s="2"/>
      <c r="AB255" s="2"/>
      <c r="AC255" s="2"/>
      <c r="AD255" s="2"/>
      <c r="AE255" s="2"/>
    </row>
    <row r="256" spans="6:31" ht="12.5" x14ac:dyDescent="0.25">
      <c r="F256" s="2"/>
      <c r="I256" s="2"/>
      <c r="J256" s="2"/>
      <c r="M256" s="2"/>
      <c r="N256" s="2"/>
      <c r="W256" s="2"/>
      <c r="X256" s="2"/>
      <c r="Y256" s="2"/>
      <c r="Z256" s="2"/>
      <c r="AA256" s="2"/>
      <c r="AB256" s="2"/>
      <c r="AC256" s="2"/>
      <c r="AD256" s="2"/>
      <c r="AE256" s="2"/>
    </row>
    <row r="257" spans="6:31" ht="12.5" x14ac:dyDescent="0.25">
      <c r="F257" s="2"/>
      <c r="I257" s="2"/>
      <c r="J257" s="2"/>
      <c r="M257" s="2"/>
      <c r="N257" s="2"/>
      <c r="W257" s="2"/>
      <c r="X257" s="2"/>
      <c r="Y257" s="2"/>
      <c r="Z257" s="2"/>
      <c r="AA257" s="2"/>
      <c r="AB257" s="2"/>
      <c r="AC257" s="2"/>
      <c r="AD257" s="2"/>
      <c r="AE257" s="2"/>
    </row>
    <row r="258" spans="6:31" ht="12.5" x14ac:dyDescent="0.25">
      <c r="F258" s="2"/>
      <c r="I258" s="2"/>
      <c r="J258" s="2"/>
      <c r="M258" s="2"/>
      <c r="N258" s="2"/>
      <c r="W258" s="2"/>
      <c r="X258" s="2"/>
      <c r="Y258" s="2"/>
      <c r="Z258" s="2"/>
      <c r="AA258" s="2"/>
      <c r="AB258" s="2"/>
      <c r="AC258" s="2"/>
      <c r="AD258" s="2"/>
      <c r="AE258" s="2"/>
    </row>
    <row r="259" spans="6:31" ht="12.5" x14ac:dyDescent="0.25">
      <c r="F259" s="2"/>
      <c r="I259" s="2"/>
      <c r="J259" s="2"/>
      <c r="M259" s="2"/>
      <c r="N259" s="2"/>
      <c r="W259" s="2"/>
      <c r="X259" s="2"/>
      <c r="Y259" s="2"/>
      <c r="Z259" s="2"/>
      <c r="AA259" s="2"/>
      <c r="AB259" s="2"/>
      <c r="AC259" s="2"/>
      <c r="AD259" s="2"/>
      <c r="AE259" s="2"/>
    </row>
    <row r="260" spans="6:31" ht="12.5" x14ac:dyDescent="0.25">
      <c r="F260" s="2"/>
      <c r="I260" s="2"/>
      <c r="J260" s="2"/>
      <c r="M260" s="2"/>
      <c r="N260" s="2"/>
      <c r="W260" s="2"/>
      <c r="X260" s="2"/>
      <c r="Y260" s="2"/>
      <c r="Z260" s="2"/>
      <c r="AA260" s="2"/>
      <c r="AB260" s="2"/>
      <c r="AC260" s="2"/>
      <c r="AD260" s="2"/>
      <c r="AE260" s="2"/>
    </row>
    <row r="261" spans="6:31" ht="12.5" x14ac:dyDescent="0.25">
      <c r="F261" s="2"/>
      <c r="I261" s="2"/>
      <c r="J261" s="2"/>
      <c r="M261" s="2"/>
      <c r="N261" s="2"/>
      <c r="W261" s="2"/>
      <c r="X261" s="2"/>
      <c r="Y261" s="2"/>
      <c r="Z261" s="2"/>
      <c r="AA261" s="2"/>
      <c r="AB261" s="2"/>
      <c r="AC261" s="2"/>
      <c r="AD261" s="2"/>
      <c r="AE261" s="2"/>
    </row>
    <row r="262" spans="6:31" ht="12.5" x14ac:dyDescent="0.25">
      <c r="F262" s="2"/>
      <c r="I262" s="2"/>
      <c r="J262" s="2"/>
      <c r="M262" s="2"/>
      <c r="N262" s="2"/>
      <c r="W262" s="2"/>
      <c r="X262" s="2"/>
      <c r="Y262" s="2"/>
      <c r="Z262" s="2"/>
      <c r="AA262" s="2"/>
      <c r="AB262" s="2"/>
      <c r="AC262" s="2"/>
      <c r="AD262" s="2"/>
      <c r="AE262" s="2"/>
    </row>
    <row r="263" spans="6:31" ht="12.5" x14ac:dyDescent="0.25">
      <c r="F263" s="2"/>
      <c r="I263" s="2"/>
      <c r="J263" s="2"/>
      <c r="M263" s="2"/>
      <c r="N263" s="2"/>
      <c r="W263" s="2"/>
      <c r="X263" s="2"/>
      <c r="Y263" s="2"/>
      <c r="Z263" s="2"/>
      <c r="AA263" s="2"/>
      <c r="AB263" s="2"/>
      <c r="AC263" s="2"/>
      <c r="AD263" s="2"/>
      <c r="AE263" s="2"/>
    </row>
    <row r="264" spans="6:31" ht="12.5" x14ac:dyDescent="0.25">
      <c r="F264" s="2"/>
      <c r="I264" s="2"/>
      <c r="J264" s="2"/>
      <c r="M264" s="2"/>
      <c r="N264" s="2"/>
      <c r="W264" s="2"/>
      <c r="X264" s="2"/>
      <c r="Y264" s="2"/>
      <c r="Z264" s="2"/>
      <c r="AA264" s="2"/>
      <c r="AB264" s="2"/>
      <c r="AC264" s="2"/>
      <c r="AD264" s="2"/>
      <c r="AE264" s="2"/>
    </row>
    <row r="265" spans="6:31" ht="12.5" x14ac:dyDescent="0.25">
      <c r="F265" s="2"/>
      <c r="I265" s="2"/>
      <c r="J265" s="2"/>
      <c r="M265" s="2"/>
      <c r="N265" s="2"/>
      <c r="W265" s="2"/>
      <c r="X265" s="2"/>
      <c r="Y265" s="2"/>
      <c r="Z265" s="2"/>
      <c r="AA265" s="2"/>
      <c r="AB265" s="2"/>
      <c r="AC265" s="2"/>
      <c r="AD265" s="2"/>
      <c r="AE265" s="2"/>
    </row>
    <row r="266" spans="6:31" ht="12.5" x14ac:dyDescent="0.25">
      <c r="F266" s="2"/>
      <c r="I266" s="2"/>
      <c r="J266" s="2"/>
      <c r="M266" s="2"/>
      <c r="N266" s="2"/>
      <c r="W266" s="2"/>
      <c r="X266" s="2"/>
      <c r="Y266" s="2"/>
      <c r="Z266" s="2"/>
      <c r="AA266" s="2"/>
      <c r="AB266" s="2"/>
      <c r="AC266" s="2"/>
      <c r="AD266" s="2"/>
      <c r="AE266" s="2"/>
    </row>
    <row r="267" spans="6:31" ht="12.5" x14ac:dyDescent="0.25">
      <c r="F267" s="2"/>
      <c r="I267" s="2"/>
      <c r="J267" s="2"/>
      <c r="M267" s="2"/>
      <c r="N267" s="2"/>
      <c r="W267" s="2"/>
      <c r="X267" s="2"/>
      <c r="Y267" s="2"/>
      <c r="Z267" s="2"/>
      <c r="AA267" s="2"/>
      <c r="AB267" s="2"/>
      <c r="AC267" s="2"/>
      <c r="AD267" s="2"/>
      <c r="AE267" s="2"/>
    </row>
    <row r="268" spans="6:31" ht="12.5" x14ac:dyDescent="0.25">
      <c r="F268" s="2"/>
      <c r="I268" s="2"/>
      <c r="J268" s="2"/>
      <c r="M268" s="2"/>
      <c r="N268" s="2"/>
      <c r="W268" s="2"/>
      <c r="X268" s="2"/>
      <c r="Y268" s="2"/>
      <c r="Z268" s="2"/>
      <c r="AA268" s="2"/>
      <c r="AB268" s="2"/>
      <c r="AC268" s="2"/>
      <c r="AD268" s="2"/>
      <c r="AE268" s="2"/>
    </row>
    <row r="269" spans="6:31" ht="12.5" x14ac:dyDescent="0.25">
      <c r="F269" s="2"/>
      <c r="I269" s="2"/>
      <c r="J269" s="2"/>
      <c r="M269" s="2"/>
      <c r="N269" s="2"/>
      <c r="W269" s="2"/>
      <c r="X269" s="2"/>
      <c r="Y269" s="2"/>
      <c r="Z269" s="2"/>
      <c r="AA269" s="2"/>
      <c r="AB269" s="2"/>
      <c r="AC269" s="2"/>
      <c r="AD269" s="2"/>
      <c r="AE269" s="2"/>
    </row>
    <row r="270" spans="6:31" ht="12.5" x14ac:dyDescent="0.25">
      <c r="F270" s="2"/>
      <c r="I270" s="2"/>
      <c r="J270" s="2"/>
      <c r="M270" s="2"/>
      <c r="N270" s="2"/>
      <c r="W270" s="2"/>
      <c r="X270" s="2"/>
      <c r="Y270" s="2"/>
      <c r="Z270" s="2"/>
      <c r="AA270" s="2"/>
      <c r="AB270" s="2"/>
      <c r="AC270" s="2"/>
      <c r="AD270" s="2"/>
      <c r="AE270" s="2"/>
    </row>
    <row r="271" spans="6:31" ht="12.5" x14ac:dyDescent="0.25">
      <c r="F271" s="2"/>
      <c r="I271" s="2"/>
      <c r="J271" s="2"/>
      <c r="M271" s="2"/>
      <c r="N271" s="2"/>
      <c r="W271" s="2"/>
      <c r="X271" s="2"/>
      <c r="Y271" s="2"/>
      <c r="Z271" s="2"/>
      <c r="AA271" s="2"/>
      <c r="AB271" s="2"/>
      <c r="AC271" s="2"/>
      <c r="AD271" s="2"/>
      <c r="AE271" s="2"/>
    </row>
    <row r="272" spans="6:31" ht="12.5" x14ac:dyDescent="0.25">
      <c r="F272" s="2"/>
      <c r="I272" s="2"/>
      <c r="J272" s="2"/>
      <c r="M272" s="2"/>
      <c r="N272" s="2"/>
      <c r="W272" s="2"/>
      <c r="X272" s="2"/>
      <c r="Y272" s="2"/>
      <c r="Z272" s="2"/>
      <c r="AA272" s="2"/>
      <c r="AB272" s="2"/>
      <c r="AC272" s="2"/>
      <c r="AD272" s="2"/>
      <c r="AE272" s="2"/>
    </row>
    <row r="273" spans="6:31" ht="12.5" x14ac:dyDescent="0.25">
      <c r="F273" s="2"/>
      <c r="I273" s="2"/>
      <c r="J273" s="2"/>
      <c r="M273" s="2"/>
      <c r="N273" s="2"/>
      <c r="W273" s="2"/>
      <c r="X273" s="2"/>
      <c r="Y273" s="2"/>
      <c r="Z273" s="2"/>
      <c r="AA273" s="2"/>
      <c r="AB273" s="2"/>
      <c r="AC273" s="2"/>
      <c r="AD273" s="2"/>
      <c r="AE273" s="2"/>
    </row>
    <row r="274" spans="6:31" ht="12.5" x14ac:dyDescent="0.25">
      <c r="F274" s="2"/>
      <c r="I274" s="2"/>
      <c r="J274" s="2"/>
      <c r="M274" s="2"/>
      <c r="N274" s="2"/>
      <c r="W274" s="2"/>
      <c r="X274" s="2"/>
      <c r="Y274" s="2"/>
      <c r="Z274" s="2"/>
      <c r="AA274" s="2"/>
      <c r="AB274" s="2"/>
      <c r="AC274" s="2"/>
      <c r="AD274" s="2"/>
      <c r="AE274" s="2"/>
    </row>
    <row r="275" spans="6:31" ht="12.5" x14ac:dyDescent="0.25">
      <c r="F275" s="2"/>
      <c r="I275" s="2"/>
      <c r="J275" s="2"/>
      <c r="M275" s="2"/>
      <c r="N275" s="2"/>
      <c r="W275" s="2"/>
      <c r="X275" s="2"/>
      <c r="Y275" s="2"/>
      <c r="Z275" s="2"/>
      <c r="AA275" s="2"/>
      <c r="AB275" s="2"/>
      <c r="AC275" s="2"/>
      <c r="AD275" s="2"/>
      <c r="AE275" s="2"/>
    </row>
    <row r="276" spans="6:31" ht="12.5" x14ac:dyDescent="0.25">
      <c r="F276" s="2"/>
      <c r="I276" s="2"/>
      <c r="J276" s="2"/>
      <c r="M276" s="2"/>
      <c r="N276" s="2"/>
      <c r="W276" s="2"/>
      <c r="X276" s="2"/>
      <c r="Y276" s="2"/>
      <c r="Z276" s="2"/>
      <c r="AA276" s="2"/>
      <c r="AB276" s="2"/>
      <c r="AC276" s="2"/>
      <c r="AD276" s="2"/>
      <c r="AE276" s="2"/>
    </row>
    <row r="277" spans="6:31" ht="12.5" x14ac:dyDescent="0.25">
      <c r="F277" s="2"/>
      <c r="I277" s="2"/>
      <c r="J277" s="2"/>
      <c r="M277" s="2"/>
      <c r="N277" s="2"/>
      <c r="W277" s="2"/>
      <c r="X277" s="2"/>
      <c r="Y277" s="2"/>
      <c r="Z277" s="2"/>
      <c r="AA277" s="2"/>
      <c r="AB277" s="2"/>
      <c r="AC277" s="2"/>
      <c r="AD277" s="2"/>
      <c r="AE277" s="2"/>
    </row>
    <row r="278" spans="6:31" ht="12.5" x14ac:dyDescent="0.25">
      <c r="F278" s="2"/>
      <c r="I278" s="2"/>
      <c r="J278" s="2"/>
      <c r="M278" s="2"/>
      <c r="N278" s="2"/>
      <c r="W278" s="2"/>
      <c r="X278" s="2"/>
      <c r="Y278" s="2"/>
      <c r="Z278" s="2"/>
      <c r="AA278" s="2"/>
      <c r="AB278" s="2"/>
      <c r="AC278" s="2"/>
      <c r="AD278" s="2"/>
      <c r="AE278" s="2"/>
    </row>
    <row r="279" spans="6:31" ht="12.5" x14ac:dyDescent="0.25">
      <c r="F279" s="2"/>
      <c r="I279" s="2"/>
      <c r="J279" s="2"/>
      <c r="M279" s="2"/>
      <c r="N279" s="2"/>
      <c r="W279" s="2"/>
      <c r="X279" s="2"/>
      <c r="Y279" s="2"/>
      <c r="Z279" s="2"/>
      <c r="AA279" s="2"/>
      <c r="AB279" s="2"/>
      <c r="AC279" s="2"/>
      <c r="AD279" s="2"/>
      <c r="AE279" s="2"/>
    </row>
    <row r="280" spans="6:31" ht="12.5" x14ac:dyDescent="0.25">
      <c r="F280" s="2"/>
      <c r="I280" s="2"/>
      <c r="J280" s="2"/>
      <c r="M280" s="2"/>
      <c r="N280" s="2"/>
      <c r="W280" s="2"/>
      <c r="X280" s="2"/>
      <c r="Y280" s="2"/>
      <c r="Z280" s="2"/>
      <c r="AA280" s="2"/>
      <c r="AB280" s="2"/>
      <c r="AC280" s="2"/>
      <c r="AD280" s="2"/>
      <c r="AE280" s="2"/>
    </row>
    <row r="281" spans="6:31" ht="12.5" x14ac:dyDescent="0.25">
      <c r="F281" s="2"/>
      <c r="I281" s="2"/>
      <c r="J281" s="2"/>
      <c r="M281" s="2"/>
      <c r="N281" s="2"/>
      <c r="W281" s="2"/>
      <c r="X281" s="2"/>
      <c r="Y281" s="2"/>
      <c r="Z281" s="2"/>
      <c r="AA281" s="2"/>
      <c r="AB281" s="2"/>
      <c r="AC281" s="2"/>
      <c r="AD281" s="2"/>
      <c r="AE281" s="2"/>
    </row>
    <row r="282" spans="6:31" ht="12.5" x14ac:dyDescent="0.25">
      <c r="F282" s="2"/>
      <c r="I282" s="2"/>
      <c r="J282" s="2"/>
      <c r="M282" s="2"/>
      <c r="N282" s="2"/>
      <c r="W282" s="2"/>
      <c r="X282" s="2"/>
      <c r="Y282" s="2"/>
      <c r="Z282" s="2"/>
      <c r="AA282" s="2"/>
      <c r="AB282" s="2"/>
      <c r="AC282" s="2"/>
      <c r="AD282" s="2"/>
      <c r="AE282" s="2"/>
    </row>
    <row r="283" spans="6:31" ht="12.5" x14ac:dyDescent="0.25">
      <c r="F283" s="2"/>
      <c r="I283" s="2"/>
      <c r="J283" s="2"/>
      <c r="M283" s="2"/>
      <c r="N283" s="2"/>
      <c r="W283" s="2"/>
      <c r="X283" s="2"/>
      <c r="Y283" s="2"/>
      <c r="Z283" s="2"/>
      <c r="AA283" s="2"/>
      <c r="AB283" s="2"/>
      <c r="AC283" s="2"/>
      <c r="AD283" s="2"/>
      <c r="AE283" s="2"/>
    </row>
    <row r="284" spans="6:31" ht="12.5" x14ac:dyDescent="0.25">
      <c r="F284" s="2"/>
      <c r="I284" s="2"/>
      <c r="J284" s="2"/>
      <c r="M284" s="2"/>
      <c r="N284" s="2"/>
      <c r="W284" s="2"/>
      <c r="X284" s="2"/>
      <c r="Y284" s="2"/>
      <c r="Z284" s="2"/>
      <c r="AA284" s="2"/>
      <c r="AB284" s="2"/>
      <c r="AC284" s="2"/>
      <c r="AD284" s="2"/>
      <c r="AE284" s="2"/>
    </row>
    <row r="285" spans="6:31" ht="12.5" x14ac:dyDescent="0.25">
      <c r="F285" s="2"/>
      <c r="I285" s="2"/>
      <c r="J285" s="2"/>
      <c r="M285" s="2"/>
      <c r="N285" s="2"/>
      <c r="W285" s="2"/>
      <c r="X285" s="2"/>
      <c r="Y285" s="2"/>
      <c r="Z285" s="2"/>
      <c r="AA285" s="2"/>
      <c r="AB285" s="2"/>
      <c r="AC285" s="2"/>
      <c r="AD285" s="2"/>
      <c r="AE285" s="2"/>
    </row>
    <row r="286" spans="6:31" ht="12.5" x14ac:dyDescent="0.25">
      <c r="F286" s="2"/>
      <c r="I286" s="2"/>
      <c r="J286" s="2"/>
      <c r="M286" s="2"/>
      <c r="N286" s="2"/>
      <c r="W286" s="2"/>
      <c r="X286" s="2"/>
      <c r="Y286" s="2"/>
      <c r="Z286" s="2"/>
      <c r="AA286" s="2"/>
      <c r="AB286" s="2"/>
      <c r="AC286" s="2"/>
      <c r="AD286" s="2"/>
      <c r="AE286" s="2"/>
    </row>
    <row r="287" spans="6:31" ht="12.5" x14ac:dyDescent="0.25">
      <c r="F287" s="2"/>
      <c r="I287" s="2"/>
      <c r="J287" s="2"/>
      <c r="M287" s="2"/>
      <c r="N287" s="2"/>
      <c r="W287" s="2"/>
      <c r="X287" s="2"/>
      <c r="Y287" s="2"/>
      <c r="Z287" s="2"/>
      <c r="AA287" s="2"/>
      <c r="AB287" s="2"/>
      <c r="AC287" s="2"/>
      <c r="AD287" s="2"/>
      <c r="AE287" s="2"/>
    </row>
    <row r="288" spans="6:31" ht="12.5" x14ac:dyDescent="0.25">
      <c r="F288" s="2"/>
      <c r="I288" s="2"/>
      <c r="J288" s="2"/>
      <c r="M288" s="2"/>
      <c r="N288" s="2"/>
      <c r="W288" s="2"/>
      <c r="X288" s="2"/>
      <c r="Y288" s="2"/>
      <c r="Z288" s="2"/>
      <c r="AA288" s="2"/>
      <c r="AB288" s="2"/>
      <c r="AC288" s="2"/>
      <c r="AD288" s="2"/>
      <c r="AE288" s="2"/>
    </row>
    <row r="289" spans="6:31" ht="12.5" x14ac:dyDescent="0.25">
      <c r="F289" s="2"/>
      <c r="I289" s="2"/>
      <c r="J289" s="2"/>
      <c r="M289" s="2"/>
      <c r="N289" s="2"/>
      <c r="W289" s="2"/>
      <c r="X289" s="2"/>
      <c r="Y289" s="2"/>
      <c r="Z289" s="2"/>
      <c r="AA289" s="2"/>
      <c r="AB289" s="2"/>
      <c r="AC289" s="2"/>
      <c r="AD289" s="2"/>
      <c r="AE289" s="2"/>
    </row>
    <row r="290" spans="6:31" ht="12.5" x14ac:dyDescent="0.25">
      <c r="F290" s="2"/>
      <c r="I290" s="2"/>
      <c r="J290" s="2"/>
      <c r="M290" s="2"/>
      <c r="N290" s="2"/>
      <c r="W290" s="2"/>
      <c r="X290" s="2"/>
      <c r="Y290" s="2"/>
      <c r="Z290" s="2"/>
      <c r="AA290" s="2"/>
      <c r="AB290" s="2"/>
      <c r="AC290" s="2"/>
      <c r="AD290" s="2"/>
      <c r="AE290" s="2"/>
    </row>
    <row r="291" spans="6:31" ht="12.5" x14ac:dyDescent="0.25">
      <c r="F291" s="2"/>
      <c r="I291" s="2"/>
      <c r="J291" s="2"/>
      <c r="M291" s="2"/>
      <c r="N291" s="2"/>
      <c r="W291" s="2"/>
      <c r="X291" s="2"/>
      <c r="Y291" s="2"/>
      <c r="Z291" s="2"/>
      <c r="AA291" s="2"/>
      <c r="AB291" s="2"/>
      <c r="AC291" s="2"/>
      <c r="AD291" s="2"/>
      <c r="AE291" s="2"/>
    </row>
    <row r="292" spans="6:31" ht="12.5" x14ac:dyDescent="0.25">
      <c r="F292" s="2"/>
      <c r="I292" s="2"/>
      <c r="J292" s="2"/>
      <c r="M292" s="2"/>
      <c r="N292" s="2"/>
      <c r="W292" s="2"/>
      <c r="X292" s="2"/>
      <c r="Y292" s="2"/>
      <c r="Z292" s="2"/>
      <c r="AA292" s="2"/>
      <c r="AB292" s="2"/>
      <c r="AC292" s="2"/>
      <c r="AD292" s="2"/>
      <c r="AE292" s="2"/>
    </row>
    <row r="293" spans="6:31" ht="12.5" x14ac:dyDescent="0.25">
      <c r="F293" s="2"/>
      <c r="I293" s="2"/>
      <c r="J293" s="2"/>
      <c r="M293" s="2"/>
      <c r="N293" s="2"/>
      <c r="W293" s="2"/>
      <c r="X293" s="2"/>
      <c r="Y293" s="2"/>
      <c r="Z293" s="2"/>
      <c r="AA293" s="2"/>
      <c r="AB293" s="2"/>
      <c r="AC293" s="2"/>
      <c r="AD293" s="2"/>
      <c r="AE293" s="2"/>
    </row>
    <row r="294" spans="6:31" ht="12.5" x14ac:dyDescent="0.25">
      <c r="F294" s="2"/>
      <c r="I294" s="2"/>
      <c r="J294" s="2"/>
      <c r="M294" s="2"/>
      <c r="N294" s="2"/>
      <c r="W294" s="2"/>
      <c r="X294" s="2"/>
      <c r="Y294" s="2"/>
      <c r="Z294" s="2"/>
      <c r="AA294" s="2"/>
      <c r="AB294" s="2"/>
      <c r="AC294" s="2"/>
      <c r="AD294" s="2"/>
      <c r="AE294" s="2"/>
    </row>
    <row r="295" spans="6:31" ht="12.5" x14ac:dyDescent="0.25">
      <c r="F295" s="2"/>
      <c r="I295" s="2"/>
      <c r="J295" s="2"/>
      <c r="M295" s="2"/>
      <c r="N295" s="2"/>
      <c r="W295" s="2"/>
      <c r="X295" s="2"/>
      <c r="Y295" s="2"/>
      <c r="Z295" s="2"/>
      <c r="AA295" s="2"/>
      <c r="AB295" s="2"/>
      <c r="AC295" s="2"/>
      <c r="AD295" s="2"/>
      <c r="AE295" s="2"/>
    </row>
    <row r="296" spans="6:31" ht="12.5" x14ac:dyDescent="0.25">
      <c r="F296" s="2"/>
      <c r="I296" s="2"/>
      <c r="J296" s="2"/>
      <c r="M296" s="2"/>
      <c r="N296" s="2"/>
      <c r="W296" s="2"/>
      <c r="X296" s="2"/>
      <c r="Y296" s="2"/>
      <c r="Z296" s="2"/>
      <c r="AA296" s="2"/>
      <c r="AB296" s="2"/>
      <c r="AC296" s="2"/>
      <c r="AD296" s="2"/>
      <c r="AE296" s="2"/>
    </row>
    <row r="297" spans="6:31" ht="12.5" x14ac:dyDescent="0.25">
      <c r="F297" s="2"/>
      <c r="I297" s="2"/>
      <c r="J297" s="2"/>
      <c r="M297" s="2"/>
      <c r="N297" s="2"/>
      <c r="W297" s="2"/>
      <c r="X297" s="2"/>
      <c r="Y297" s="2"/>
      <c r="Z297" s="2"/>
      <c r="AA297" s="2"/>
      <c r="AB297" s="2"/>
      <c r="AC297" s="2"/>
      <c r="AD297" s="2"/>
      <c r="AE297" s="2"/>
    </row>
    <row r="298" spans="6:31" ht="12.5" x14ac:dyDescent="0.25">
      <c r="F298" s="2"/>
      <c r="I298" s="2"/>
      <c r="J298" s="2"/>
      <c r="M298" s="2"/>
      <c r="N298" s="2"/>
      <c r="W298" s="2"/>
      <c r="X298" s="2"/>
      <c r="Y298" s="2"/>
      <c r="Z298" s="2"/>
      <c r="AA298" s="2"/>
      <c r="AB298" s="2"/>
      <c r="AC298" s="2"/>
      <c r="AD298" s="2"/>
      <c r="AE298" s="2"/>
    </row>
    <row r="299" spans="6:31" ht="12.5" x14ac:dyDescent="0.25">
      <c r="F299" s="2"/>
      <c r="I299" s="2"/>
      <c r="J299" s="2"/>
      <c r="M299" s="2"/>
      <c r="N299" s="2"/>
      <c r="W299" s="2"/>
      <c r="X299" s="2"/>
      <c r="Y299" s="2"/>
      <c r="Z299" s="2"/>
      <c r="AA299" s="2"/>
      <c r="AB299" s="2"/>
      <c r="AC299" s="2"/>
      <c r="AD299" s="2"/>
      <c r="AE299" s="2"/>
    </row>
    <row r="300" spans="6:31" ht="12.5" x14ac:dyDescent="0.25">
      <c r="F300" s="2"/>
      <c r="I300" s="2"/>
      <c r="J300" s="2"/>
      <c r="M300" s="2"/>
      <c r="N300" s="2"/>
      <c r="W300" s="2"/>
      <c r="X300" s="2"/>
      <c r="Y300" s="2"/>
      <c r="Z300" s="2"/>
      <c r="AA300" s="2"/>
      <c r="AB300" s="2"/>
      <c r="AC300" s="2"/>
      <c r="AD300" s="2"/>
      <c r="AE300" s="2"/>
    </row>
    <row r="301" spans="6:31" ht="12.5" x14ac:dyDescent="0.25">
      <c r="F301" s="2"/>
      <c r="I301" s="2"/>
      <c r="J301" s="2"/>
      <c r="M301" s="2"/>
      <c r="N301" s="2"/>
      <c r="W301" s="2"/>
      <c r="X301" s="2"/>
      <c r="Y301" s="2"/>
      <c r="Z301" s="2"/>
      <c r="AA301" s="2"/>
      <c r="AB301" s="2"/>
      <c r="AC301" s="2"/>
      <c r="AD301" s="2"/>
      <c r="AE301" s="2"/>
    </row>
    <row r="302" spans="6:31" ht="12.5" x14ac:dyDescent="0.25">
      <c r="F302" s="2"/>
      <c r="I302" s="2"/>
      <c r="J302" s="2"/>
      <c r="M302" s="2"/>
      <c r="N302" s="2"/>
      <c r="W302" s="2"/>
      <c r="X302" s="2"/>
      <c r="Y302" s="2"/>
      <c r="Z302" s="2"/>
      <c r="AA302" s="2"/>
      <c r="AB302" s="2"/>
      <c r="AC302" s="2"/>
      <c r="AD302" s="2"/>
      <c r="AE302" s="2"/>
    </row>
    <row r="303" spans="6:31" ht="12.5" x14ac:dyDescent="0.25">
      <c r="F303" s="2"/>
      <c r="I303" s="2"/>
      <c r="J303" s="2"/>
      <c r="M303" s="2"/>
      <c r="N303" s="2"/>
      <c r="W303" s="2"/>
      <c r="X303" s="2"/>
      <c r="Y303" s="2"/>
      <c r="Z303" s="2"/>
      <c r="AA303" s="2"/>
      <c r="AB303" s="2"/>
      <c r="AC303" s="2"/>
      <c r="AD303" s="2"/>
      <c r="AE303" s="2"/>
    </row>
    <row r="304" spans="6:31" ht="12.5" x14ac:dyDescent="0.25">
      <c r="F304" s="2"/>
      <c r="I304" s="2"/>
      <c r="J304" s="2"/>
      <c r="M304" s="2"/>
      <c r="N304" s="2"/>
      <c r="W304" s="2"/>
      <c r="X304" s="2"/>
      <c r="Y304" s="2"/>
      <c r="Z304" s="2"/>
      <c r="AA304" s="2"/>
      <c r="AB304" s="2"/>
      <c r="AC304" s="2"/>
      <c r="AD304" s="2"/>
      <c r="AE304" s="2"/>
    </row>
    <row r="305" spans="6:31" ht="12.5" x14ac:dyDescent="0.25">
      <c r="F305" s="2"/>
      <c r="I305" s="2"/>
      <c r="J305" s="2"/>
      <c r="M305" s="2"/>
      <c r="N305" s="2"/>
      <c r="W305" s="2"/>
      <c r="X305" s="2"/>
      <c r="Y305" s="2"/>
      <c r="Z305" s="2"/>
      <c r="AA305" s="2"/>
      <c r="AB305" s="2"/>
      <c r="AC305" s="2"/>
      <c r="AD305" s="2"/>
      <c r="AE305" s="2"/>
    </row>
    <row r="306" spans="6:31" ht="12.5" x14ac:dyDescent="0.25">
      <c r="F306" s="2"/>
      <c r="I306" s="2"/>
      <c r="J306" s="2"/>
      <c r="M306" s="2"/>
      <c r="N306" s="2"/>
      <c r="W306" s="2"/>
      <c r="X306" s="2"/>
      <c r="Y306" s="2"/>
      <c r="Z306" s="2"/>
      <c r="AA306" s="2"/>
      <c r="AB306" s="2"/>
      <c r="AC306" s="2"/>
      <c r="AD306" s="2"/>
      <c r="AE306" s="2"/>
    </row>
    <row r="307" spans="6:31" ht="12.5" x14ac:dyDescent="0.25">
      <c r="F307" s="2"/>
      <c r="I307" s="2"/>
      <c r="J307" s="2"/>
      <c r="M307" s="2"/>
      <c r="N307" s="2"/>
      <c r="W307" s="2"/>
      <c r="X307" s="2"/>
      <c r="Y307" s="2"/>
      <c r="Z307" s="2"/>
      <c r="AA307" s="2"/>
      <c r="AB307" s="2"/>
      <c r="AC307" s="2"/>
      <c r="AD307" s="2"/>
      <c r="AE307" s="2"/>
    </row>
    <row r="308" spans="6:31" ht="12.5" x14ac:dyDescent="0.25">
      <c r="F308" s="2"/>
      <c r="I308" s="2"/>
      <c r="J308" s="2"/>
      <c r="M308" s="2"/>
      <c r="N308" s="2"/>
      <c r="W308" s="2"/>
      <c r="X308" s="2"/>
      <c r="Y308" s="2"/>
      <c r="Z308" s="2"/>
      <c r="AA308" s="2"/>
      <c r="AB308" s="2"/>
      <c r="AC308" s="2"/>
      <c r="AD308" s="2"/>
      <c r="AE308" s="2"/>
    </row>
    <row r="309" spans="6:31" ht="12.5" x14ac:dyDescent="0.25">
      <c r="F309" s="2"/>
      <c r="I309" s="2"/>
      <c r="J309" s="2"/>
      <c r="M309" s="2"/>
      <c r="N309" s="2"/>
      <c r="W309" s="2"/>
      <c r="X309" s="2"/>
      <c r="Y309" s="2"/>
      <c r="Z309" s="2"/>
      <c r="AA309" s="2"/>
      <c r="AB309" s="2"/>
      <c r="AC309" s="2"/>
      <c r="AD309" s="2"/>
      <c r="AE309" s="2"/>
    </row>
    <row r="310" spans="6:31" ht="12.5" x14ac:dyDescent="0.25">
      <c r="F310" s="2"/>
      <c r="I310" s="2"/>
      <c r="J310" s="2"/>
      <c r="M310" s="2"/>
      <c r="N310" s="2"/>
      <c r="W310" s="2"/>
      <c r="X310" s="2"/>
      <c r="Y310" s="2"/>
      <c r="Z310" s="2"/>
      <c r="AA310" s="2"/>
      <c r="AB310" s="2"/>
      <c r="AC310" s="2"/>
      <c r="AD310" s="2"/>
      <c r="AE310" s="2"/>
    </row>
    <row r="311" spans="6:31" ht="12.5" x14ac:dyDescent="0.25">
      <c r="F311" s="2"/>
      <c r="I311" s="2"/>
      <c r="J311" s="2"/>
      <c r="M311" s="2"/>
      <c r="N311" s="2"/>
      <c r="W311" s="2"/>
      <c r="X311" s="2"/>
      <c r="Y311" s="2"/>
      <c r="Z311" s="2"/>
      <c r="AA311" s="2"/>
      <c r="AB311" s="2"/>
      <c r="AC311" s="2"/>
      <c r="AD311" s="2"/>
      <c r="AE311" s="2"/>
    </row>
    <row r="312" spans="6:31" ht="12.5" x14ac:dyDescent="0.25">
      <c r="F312" s="2"/>
      <c r="I312" s="2"/>
      <c r="J312" s="2"/>
      <c r="M312" s="2"/>
      <c r="N312" s="2"/>
      <c r="W312" s="2"/>
      <c r="X312" s="2"/>
      <c r="Y312" s="2"/>
      <c r="Z312" s="2"/>
      <c r="AA312" s="2"/>
      <c r="AB312" s="2"/>
      <c r="AC312" s="2"/>
      <c r="AD312" s="2"/>
      <c r="AE312" s="2"/>
    </row>
    <row r="313" spans="6:31" ht="12.5" x14ac:dyDescent="0.25">
      <c r="F313" s="2"/>
      <c r="I313" s="2"/>
      <c r="J313" s="2"/>
      <c r="M313" s="2"/>
      <c r="N313" s="2"/>
      <c r="W313" s="2"/>
      <c r="X313" s="2"/>
      <c r="Y313" s="2"/>
      <c r="Z313" s="2"/>
      <c r="AA313" s="2"/>
      <c r="AB313" s="2"/>
      <c r="AC313" s="2"/>
      <c r="AD313" s="2"/>
      <c r="AE313" s="2"/>
    </row>
    <row r="314" spans="6:31" ht="12.5" x14ac:dyDescent="0.25">
      <c r="F314" s="2"/>
      <c r="I314" s="2"/>
      <c r="J314" s="2"/>
      <c r="M314" s="2"/>
      <c r="N314" s="2"/>
      <c r="W314" s="2"/>
      <c r="X314" s="2"/>
      <c r="Y314" s="2"/>
      <c r="Z314" s="2"/>
      <c r="AA314" s="2"/>
      <c r="AB314" s="2"/>
      <c r="AC314" s="2"/>
      <c r="AD314" s="2"/>
      <c r="AE314" s="2"/>
    </row>
    <row r="315" spans="6:31" ht="12.5" x14ac:dyDescent="0.25">
      <c r="F315" s="2"/>
      <c r="I315" s="2"/>
      <c r="J315" s="2"/>
      <c r="M315" s="2"/>
      <c r="N315" s="2"/>
      <c r="W315" s="2"/>
      <c r="X315" s="2"/>
      <c r="Y315" s="2"/>
      <c r="Z315" s="2"/>
      <c r="AA315" s="2"/>
      <c r="AB315" s="2"/>
      <c r="AC315" s="2"/>
      <c r="AD315" s="2"/>
      <c r="AE315" s="2"/>
    </row>
    <row r="316" spans="6:31" ht="12.5" x14ac:dyDescent="0.25">
      <c r="F316" s="2"/>
      <c r="I316" s="2"/>
      <c r="J316" s="2"/>
      <c r="M316" s="2"/>
      <c r="N316" s="2"/>
      <c r="W316" s="2"/>
      <c r="X316" s="2"/>
      <c r="Y316" s="2"/>
      <c r="Z316" s="2"/>
      <c r="AA316" s="2"/>
      <c r="AB316" s="2"/>
      <c r="AC316" s="2"/>
      <c r="AD316" s="2"/>
      <c r="AE316" s="2"/>
    </row>
    <row r="317" spans="6:31" ht="12.5" x14ac:dyDescent="0.25">
      <c r="F317" s="2"/>
      <c r="I317" s="2"/>
      <c r="J317" s="2"/>
      <c r="M317" s="2"/>
      <c r="N317" s="2"/>
      <c r="W317" s="2"/>
      <c r="X317" s="2"/>
      <c r="Y317" s="2"/>
      <c r="Z317" s="2"/>
      <c r="AA317" s="2"/>
      <c r="AB317" s="2"/>
      <c r="AC317" s="2"/>
      <c r="AD317" s="2"/>
      <c r="AE317" s="2"/>
    </row>
    <row r="318" spans="6:31" ht="12.5" x14ac:dyDescent="0.25">
      <c r="F318" s="2"/>
      <c r="I318" s="2"/>
      <c r="J318" s="2"/>
      <c r="M318" s="2"/>
      <c r="N318" s="2"/>
      <c r="W318" s="2"/>
      <c r="X318" s="2"/>
      <c r="Y318" s="2"/>
      <c r="Z318" s="2"/>
      <c r="AA318" s="2"/>
      <c r="AB318" s="2"/>
      <c r="AC318" s="2"/>
      <c r="AD318" s="2"/>
      <c r="AE318" s="2"/>
    </row>
    <row r="319" spans="6:31" ht="12.5" x14ac:dyDescent="0.25">
      <c r="F319" s="2"/>
      <c r="I319" s="2"/>
      <c r="J319" s="2"/>
      <c r="M319" s="2"/>
      <c r="N319" s="2"/>
      <c r="W319" s="2"/>
      <c r="X319" s="2"/>
      <c r="Y319" s="2"/>
      <c r="Z319" s="2"/>
      <c r="AA319" s="2"/>
      <c r="AB319" s="2"/>
      <c r="AC319" s="2"/>
      <c r="AD319" s="2"/>
      <c r="AE319" s="2"/>
    </row>
    <row r="320" spans="6:31" ht="12.5" x14ac:dyDescent="0.25">
      <c r="F320" s="2"/>
      <c r="I320" s="2"/>
      <c r="J320" s="2"/>
      <c r="M320" s="2"/>
      <c r="N320" s="2"/>
      <c r="W320" s="2"/>
      <c r="X320" s="2"/>
      <c r="Y320" s="2"/>
      <c r="Z320" s="2"/>
      <c r="AA320" s="2"/>
      <c r="AB320" s="2"/>
      <c r="AC320" s="2"/>
      <c r="AD320" s="2"/>
      <c r="AE320" s="2"/>
    </row>
    <row r="321" spans="6:31" ht="12.5" x14ac:dyDescent="0.25">
      <c r="F321" s="2"/>
      <c r="I321" s="2"/>
      <c r="J321" s="2"/>
      <c r="M321" s="2"/>
      <c r="N321" s="2"/>
      <c r="W321" s="2"/>
      <c r="X321" s="2"/>
      <c r="Y321" s="2"/>
      <c r="Z321" s="2"/>
      <c r="AA321" s="2"/>
      <c r="AB321" s="2"/>
      <c r="AC321" s="2"/>
      <c r="AD321" s="2"/>
      <c r="AE321" s="2"/>
    </row>
    <row r="322" spans="6:31" ht="12.5" x14ac:dyDescent="0.25">
      <c r="F322" s="2"/>
      <c r="I322" s="2"/>
      <c r="J322" s="2"/>
      <c r="M322" s="2"/>
      <c r="N322" s="2"/>
      <c r="W322" s="2"/>
      <c r="X322" s="2"/>
      <c r="Y322" s="2"/>
      <c r="Z322" s="2"/>
      <c r="AA322" s="2"/>
      <c r="AB322" s="2"/>
      <c r="AC322" s="2"/>
      <c r="AD322" s="2"/>
      <c r="AE322" s="2"/>
    </row>
    <row r="323" spans="6:31" ht="12.5" x14ac:dyDescent="0.25">
      <c r="F323" s="2"/>
      <c r="I323" s="2"/>
      <c r="J323" s="2"/>
      <c r="M323" s="2"/>
      <c r="N323" s="2"/>
      <c r="W323" s="2"/>
      <c r="X323" s="2"/>
      <c r="Y323" s="2"/>
      <c r="Z323" s="2"/>
      <c r="AA323" s="2"/>
      <c r="AB323" s="2"/>
      <c r="AC323" s="2"/>
      <c r="AD323" s="2"/>
      <c r="AE323" s="2"/>
    </row>
    <row r="324" spans="6:31" ht="12.5" x14ac:dyDescent="0.25">
      <c r="F324" s="2"/>
      <c r="I324" s="2"/>
      <c r="J324" s="2"/>
      <c r="M324" s="2"/>
      <c r="N324" s="2"/>
      <c r="W324" s="2"/>
      <c r="X324" s="2"/>
      <c r="Y324" s="2"/>
      <c r="Z324" s="2"/>
      <c r="AA324" s="2"/>
      <c r="AB324" s="2"/>
      <c r="AC324" s="2"/>
      <c r="AD324" s="2"/>
      <c r="AE324" s="2"/>
    </row>
    <row r="325" spans="6:31" ht="12.5" x14ac:dyDescent="0.25">
      <c r="F325" s="2"/>
      <c r="I325" s="2"/>
      <c r="J325" s="2"/>
      <c r="M325" s="2"/>
      <c r="N325" s="2"/>
      <c r="W325" s="2"/>
      <c r="X325" s="2"/>
      <c r="Y325" s="2"/>
      <c r="Z325" s="2"/>
      <c r="AA325" s="2"/>
      <c r="AB325" s="2"/>
      <c r="AC325" s="2"/>
      <c r="AD325" s="2"/>
      <c r="AE325" s="2"/>
    </row>
    <row r="326" spans="6:31" ht="12.5" x14ac:dyDescent="0.25">
      <c r="F326" s="2"/>
      <c r="I326" s="2"/>
      <c r="J326" s="2"/>
      <c r="M326" s="2"/>
      <c r="N326" s="2"/>
      <c r="W326" s="2"/>
      <c r="X326" s="2"/>
      <c r="Y326" s="2"/>
      <c r="Z326" s="2"/>
      <c r="AA326" s="2"/>
      <c r="AB326" s="2"/>
      <c r="AC326" s="2"/>
      <c r="AD326" s="2"/>
      <c r="AE326" s="2"/>
    </row>
    <row r="327" spans="6:31" ht="12.5" x14ac:dyDescent="0.25">
      <c r="F327" s="2"/>
      <c r="I327" s="2"/>
      <c r="J327" s="2"/>
      <c r="M327" s="2"/>
      <c r="N327" s="2"/>
      <c r="W327" s="2"/>
      <c r="X327" s="2"/>
      <c r="Y327" s="2"/>
      <c r="Z327" s="2"/>
      <c r="AA327" s="2"/>
      <c r="AB327" s="2"/>
      <c r="AC327" s="2"/>
      <c r="AD327" s="2"/>
      <c r="AE327" s="2"/>
    </row>
    <row r="328" spans="6:31" ht="12.5" x14ac:dyDescent="0.25">
      <c r="F328" s="2"/>
      <c r="I328" s="2"/>
      <c r="J328" s="2"/>
      <c r="M328" s="2"/>
      <c r="N328" s="2"/>
      <c r="W328" s="2"/>
      <c r="X328" s="2"/>
      <c r="Y328" s="2"/>
      <c r="Z328" s="2"/>
      <c r="AA328" s="2"/>
      <c r="AB328" s="2"/>
      <c r="AC328" s="2"/>
      <c r="AD328" s="2"/>
      <c r="AE328" s="2"/>
    </row>
    <row r="329" spans="6:31" ht="12.5" x14ac:dyDescent="0.25">
      <c r="F329" s="2"/>
      <c r="I329" s="2"/>
      <c r="J329" s="2"/>
      <c r="M329" s="2"/>
      <c r="N329" s="2"/>
      <c r="W329" s="2"/>
      <c r="X329" s="2"/>
      <c r="Y329" s="2"/>
      <c r="Z329" s="2"/>
      <c r="AA329" s="2"/>
      <c r="AB329" s="2"/>
      <c r="AC329" s="2"/>
      <c r="AD329" s="2"/>
      <c r="AE329" s="2"/>
    </row>
    <row r="330" spans="6:31" ht="12.5" x14ac:dyDescent="0.25">
      <c r="F330" s="2"/>
      <c r="I330" s="2"/>
      <c r="J330" s="2"/>
      <c r="M330" s="2"/>
      <c r="N330" s="2"/>
      <c r="W330" s="2"/>
      <c r="X330" s="2"/>
      <c r="Y330" s="2"/>
      <c r="Z330" s="2"/>
      <c r="AA330" s="2"/>
      <c r="AB330" s="2"/>
      <c r="AC330" s="2"/>
      <c r="AD330" s="2"/>
      <c r="AE330" s="2"/>
    </row>
    <row r="331" spans="6:31" ht="12.5" x14ac:dyDescent="0.25">
      <c r="F331" s="2"/>
      <c r="I331" s="2"/>
      <c r="J331" s="2"/>
      <c r="M331" s="2"/>
      <c r="N331" s="2"/>
      <c r="W331" s="2"/>
      <c r="X331" s="2"/>
      <c r="Y331" s="2"/>
      <c r="Z331" s="2"/>
      <c r="AA331" s="2"/>
      <c r="AB331" s="2"/>
      <c r="AC331" s="2"/>
      <c r="AD331" s="2"/>
      <c r="AE331" s="2"/>
    </row>
    <row r="332" spans="6:31" ht="12.5" x14ac:dyDescent="0.25">
      <c r="F332" s="2"/>
      <c r="I332" s="2"/>
      <c r="J332" s="2"/>
      <c r="M332" s="2"/>
      <c r="N332" s="2"/>
      <c r="W332" s="2"/>
      <c r="X332" s="2"/>
      <c r="Y332" s="2"/>
      <c r="Z332" s="2"/>
      <c r="AA332" s="2"/>
      <c r="AB332" s="2"/>
      <c r="AC332" s="2"/>
      <c r="AD332" s="2"/>
      <c r="AE332" s="2"/>
    </row>
    <row r="333" spans="6:31" ht="12.5" x14ac:dyDescent="0.25">
      <c r="F333" s="2"/>
      <c r="I333" s="2"/>
      <c r="J333" s="2"/>
      <c r="M333" s="2"/>
      <c r="N333" s="2"/>
      <c r="W333" s="2"/>
      <c r="X333" s="2"/>
      <c r="Y333" s="2"/>
      <c r="Z333" s="2"/>
      <c r="AA333" s="2"/>
      <c r="AB333" s="2"/>
      <c r="AC333" s="2"/>
      <c r="AD333" s="2"/>
      <c r="AE333" s="2"/>
    </row>
    <row r="334" spans="6:31" ht="12.5" x14ac:dyDescent="0.25">
      <c r="F334" s="2"/>
      <c r="I334" s="2"/>
      <c r="J334" s="2"/>
      <c r="M334" s="2"/>
      <c r="N334" s="2"/>
      <c r="W334" s="2"/>
      <c r="X334" s="2"/>
      <c r="Y334" s="2"/>
      <c r="Z334" s="2"/>
      <c r="AA334" s="2"/>
      <c r="AB334" s="2"/>
      <c r="AC334" s="2"/>
      <c r="AD334" s="2"/>
      <c r="AE334" s="2"/>
    </row>
    <row r="335" spans="6:31" ht="12.5" x14ac:dyDescent="0.25">
      <c r="F335" s="2"/>
      <c r="I335" s="2"/>
      <c r="J335" s="2"/>
      <c r="M335" s="2"/>
      <c r="N335" s="2"/>
      <c r="W335" s="2"/>
      <c r="X335" s="2"/>
      <c r="Y335" s="2"/>
      <c r="Z335" s="2"/>
      <c r="AA335" s="2"/>
      <c r="AB335" s="2"/>
      <c r="AC335" s="2"/>
      <c r="AD335" s="2"/>
      <c r="AE335" s="2"/>
    </row>
    <row r="336" spans="6:31" ht="12.5" x14ac:dyDescent="0.25">
      <c r="F336" s="2"/>
      <c r="I336" s="2"/>
      <c r="J336" s="2"/>
      <c r="M336" s="2"/>
      <c r="N336" s="2"/>
      <c r="W336" s="2"/>
      <c r="X336" s="2"/>
      <c r="Y336" s="2"/>
      <c r="Z336" s="2"/>
      <c r="AA336" s="2"/>
      <c r="AB336" s="2"/>
      <c r="AC336" s="2"/>
      <c r="AD336" s="2"/>
      <c r="AE336" s="2"/>
    </row>
    <row r="337" spans="6:31" ht="12.5" x14ac:dyDescent="0.25">
      <c r="F337" s="2"/>
      <c r="I337" s="2"/>
      <c r="J337" s="2"/>
      <c r="M337" s="2"/>
      <c r="N337" s="2"/>
      <c r="W337" s="2"/>
      <c r="X337" s="2"/>
      <c r="Y337" s="2"/>
      <c r="Z337" s="2"/>
      <c r="AA337" s="2"/>
      <c r="AB337" s="2"/>
      <c r="AC337" s="2"/>
      <c r="AD337" s="2"/>
      <c r="AE337" s="2"/>
    </row>
    <row r="338" spans="6:31" ht="12.5" x14ac:dyDescent="0.25">
      <c r="F338" s="2"/>
      <c r="I338" s="2"/>
      <c r="J338" s="2"/>
      <c r="M338" s="2"/>
      <c r="N338" s="2"/>
      <c r="W338" s="2"/>
      <c r="X338" s="2"/>
      <c r="Y338" s="2"/>
      <c r="Z338" s="2"/>
      <c r="AA338" s="2"/>
      <c r="AB338" s="2"/>
      <c r="AC338" s="2"/>
      <c r="AD338" s="2"/>
      <c r="AE338" s="2"/>
    </row>
    <row r="339" spans="6:31" ht="12.5" x14ac:dyDescent="0.25">
      <c r="F339" s="2"/>
      <c r="I339" s="2"/>
      <c r="J339" s="2"/>
      <c r="M339" s="2"/>
      <c r="N339" s="2"/>
      <c r="W339" s="2"/>
      <c r="X339" s="2"/>
      <c r="Y339" s="2"/>
      <c r="Z339" s="2"/>
      <c r="AA339" s="2"/>
      <c r="AB339" s="2"/>
      <c r="AC339" s="2"/>
      <c r="AD339" s="2"/>
      <c r="AE339" s="2"/>
    </row>
    <row r="340" spans="6:31" ht="12.5" x14ac:dyDescent="0.25">
      <c r="F340" s="2"/>
      <c r="I340" s="2"/>
      <c r="J340" s="2"/>
      <c r="M340" s="2"/>
      <c r="N340" s="2"/>
      <c r="W340" s="2"/>
      <c r="X340" s="2"/>
      <c r="Y340" s="2"/>
      <c r="Z340" s="2"/>
      <c r="AA340" s="2"/>
      <c r="AB340" s="2"/>
      <c r="AC340" s="2"/>
      <c r="AD340" s="2"/>
      <c r="AE340" s="2"/>
    </row>
    <row r="341" spans="6:31" ht="12.5" x14ac:dyDescent="0.25">
      <c r="F341" s="2"/>
      <c r="I341" s="2"/>
      <c r="J341" s="2"/>
      <c r="M341" s="2"/>
      <c r="N341" s="2"/>
      <c r="W341" s="2"/>
      <c r="X341" s="2"/>
      <c r="Y341" s="2"/>
      <c r="Z341" s="2"/>
      <c r="AA341" s="2"/>
      <c r="AB341" s="2"/>
      <c r="AC341" s="2"/>
      <c r="AD341" s="2"/>
      <c r="AE341" s="2"/>
    </row>
    <row r="342" spans="6:31" ht="12.5" x14ac:dyDescent="0.25">
      <c r="F342" s="2"/>
      <c r="I342" s="2"/>
      <c r="J342" s="2"/>
      <c r="M342" s="2"/>
      <c r="N342" s="2"/>
      <c r="W342" s="2"/>
      <c r="X342" s="2"/>
      <c r="Y342" s="2"/>
      <c r="Z342" s="2"/>
      <c r="AA342" s="2"/>
      <c r="AB342" s="2"/>
      <c r="AC342" s="2"/>
      <c r="AD342" s="2"/>
      <c r="AE342" s="2"/>
    </row>
    <row r="343" spans="6:31" ht="12.5" x14ac:dyDescent="0.25">
      <c r="F343" s="2"/>
      <c r="I343" s="2"/>
      <c r="J343" s="2"/>
      <c r="M343" s="2"/>
      <c r="N343" s="2"/>
      <c r="W343" s="2"/>
      <c r="X343" s="2"/>
      <c r="Y343" s="2"/>
      <c r="Z343" s="2"/>
      <c r="AA343" s="2"/>
      <c r="AB343" s="2"/>
      <c r="AC343" s="2"/>
      <c r="AD343" s="2"/>
      <c r="AE343" s="2"/>
    </row>
    <row r="344" spans="6:31" ht="12.5" x14ac:dyDescent="0.25">
      <c r="F344" s="2"/>
      <c r="I344" s="2"/>
      <c r="J344" s="2"/>
      <c r="M344" s="2"/>
      <c r="N344" s="2"/>
      <c r="W344" s="2"/>
      <c r="X344" s="2"/>
      <c r="Y344" s="2"/>
      <c r="Z344" s="2"/>
      <c r="AA344" s="2"/>
      <c r="AB344" s="2"/>
      <c r="AC344" s="2"/>
      <c r="AD344" s="2"/>
      <c r="AE344" s="2"/>
    </row>
    <row r="345" spans="6:31" ht="12.5" x14ac:dyDescent="0.25">
      <c r="F345" s="2"/>
      <c r="I345" s="2"/>
      <c r="J345" s="2"/>
      <c r="M345" s="2"/>
      <c r="N345" s="2"/>
      <c r="W345" s="2"/>
      <c r="X345" s="2"/>
      <c r="Y345" s="2"/>
      <c r="Z345" s="2"/>
      <c r="AA345" s="2"/>
      <c r="AB345" s="2"/>
      <c r="AC345" s="2"/>
      <c r="AD345" s="2"/>
      <c r="AE345" s="2"/>
    </row>
    <row r="346" spans="6:31" ht="12.5" x14ac:dyDescent="0.25">
      <c r="F346" s="2"/>
      <c r="I346" s="2"/>
      <c r="J346" s="2"/>
      <c r="M346" s="2"/>
      <c r="N346" s="2"/>
      <c r="W346" s="2"/>
      <c r="X346" s="2"/>
      <c r="Y346" s="2"/>
      <c r="Z346" s="2"/>
      <c r="AA346" s="2"/>
      <c r="AB346" s="2"/>
      <c r="AC346" s="2"/>
      <c r="AD346" s="2"/>
      <c r="AE346" s="2"/>
    </row>
    <row r="347" spans="6:31" ht="12.5" x14ac:dyDescent="0.25">
      <c r="F347" s="2"/>
      <c r="I347" s="2"/>
      <c r="J347" s="2"/>
      <c r="M347" s="2"/>
      <c r="N347" s="2"/>
      <c r="W347" s="2"/>
      <c r="X347" s="2"/>
      <c r="Y347" s="2"/>
      <c r="Z347" s="2"/>
      <c r="AA347" s="2"/>
      <c r="AB347" s="2"/>
      <c r="AC347" s="2"/>
      <c r="AD347" s="2"/>
      <c r="AE347" s="2"/>
    </row>
    <row r="348" spans="6:31" ht="12.5" x14ac:dyDescent="0.25">
      <c r="F348" s="2"/>
      <c r="I348" s="2"/>
      <c r="J348" s="2"/>
      <c r="M348" s="2"/>
      <c r="N348" s="2"/>
      <c r="W348" s="2"/>
      <c r="X348" s="2"/>
      <c r="Y348" s="2"/>
      <c r="Z348" s="2"/>
      <c r="AA348" s="2"/>
      <c r="AB348" s="2"/>
      <c r="AC348" s="2"/>
      <c r="AD348" s="2"/>
      <c r="AE348" s="2"/>
    </row>
    <row r="349" spans="6:31" ht="12.5" x14ac:dyDescent="0.25">
      <c r="F349" s="2"/>
      <c r="I349" s="2"/>
      <c r="J349" s="2"/>
      <c r="M349" s="2"/>
      <c r="N349" s="2"/>
      <c r="W349" s="2"/>
      <c r="X349" s="2"/>
      <c r="Y349" s="2"/>
      <c r="Z349" s="2"/>
      <c r="AA349" s="2"/>
      <c r="AB349" s="2"/>
      <c r="AC349" s="2"/>
      <c r="AD349" s="2"/>
      <c r="AE349" s="2"/>
    </row>
    <row r="350" spans="6:31" ht="12.5" x14ac:dyDescent="0.25">
      <c r="F350" s="2"/>
      <c r="I350" s="2"/>
      <c r="J350" s="2"/>
      <c r="M350" s="2"/>
      <c r="N350" s="2"/>
      <c r="W350" s="2"/>
      <c r="X350" s="2"/>
      <c r="Y350" s="2"/>
      <c r="Z350" s="2"/>
      <c r="AA350" s="2"/>
      <c r="AB350" s="2"/>
      <c r="AC350" s="2"/>
      <c r="AD350" s="2"/>
      <c r="AE350" s="2"/>
    </row>
    <row r="351" spans="6:31" ht="12.5" x14ac:dyDescent="0.25">
      <c r="F351" s="2"/>
      <c r="I351" s="2"/>
      <c r="J351" s="2"/>
      <c r="M351" s="2"/>
      <c r="N351" s="2"/>
      <c r="W351" s="2"/>
      <c r="X351" s="2"/>
      <c r="Y351" s="2"/>
      <c r="Z351" s="2"/>
      <c r="AA351" s="2"/>
      <c r="AB351" s="2"/>
      <c r="AC351" s="2"/>
      <c r="AD351" s="2"/>
      <c r="AE351" s="2"/>
    </row>
    <row r="352" spans="6:31" ht="12.5" x14ac:dyDescent="0.25">
      <c r="F352" s="2"/>
      <c r="I352" s="2"/>
      <c r="J352" s="2"/>
      <c r="M352" s="2"/>
      <c r="N352" s="2"/>
      <c r="W352" s="2"/>
      <c r="X352" s="2"/>
      <c r="Y352" s="2"/>
      <c r="Z352" s="2"/>
      <c r="AA352" s="2"/>
      <c r="AB352" s="2"/>
      <c r="AC352" s="2"/>
      <c r="AD352" s="2"/>
      <c r="AE352" s="2"/>
    </row>
    <row r="353" spans="6:31" ht="12.5" x14ac:dyDescent="0.25">
      <c r="F353" s="2"/>
      <c r="I353" s="2"/>
      <c r="J353" s="2"/>
      <c r="M353" s="2"/>
      <c r="N353" s="2"/>
      <c r="W353" s="2"/>
      <c r="X353" s="2"/>
      <c r="Y353" s="2"/>
      <c r="Z353" s="2"/>
      <c r="AA353" s="2"/>
      <c r="AB353" s="2"/>
      <c r="AC353" s="2"/>
      <c r="AD353" s="2"/>
      <c r="AE353" s="2"/>
    </row>
    <row r="354" spans="6:31" ht="12.5" x14ac:dyDescent="0.25">
      <c r="F354" s="2"/>
      <c r="I354" s="2"/>
      <c r="J354" s="2"/>
      <c r="M354" s="2"/>
      <c r="N354" s="2"/>
      <c r="W354" s="2"/>
      <c r="X354" s="2"/>
      <c r="Y354" s="2"/>
      <c r="Z354" s="2"/>
      <c r="AA354" s="2"/>
      <c r="AB354" s="2"/>
      <c r="AC354" s="2"/>
      <c r="AD354" s="2"/>
      <c r="AE354" s="2"/>
    </row>
    <row r="355" spans="6:31" ht="12.5" x14ac:dyDescent="0.25">
      <c r="F355" s="2"/>
      <c r="I355" s="2"/>
      <c r="J355" s="2"/>
      <c r="M355" s="2"/>
      <c r="N355" s="2"/>
      <c r="W355" s="2"/>
      <c r="X355" s="2"/>
      <c r="Y355" s="2"/>
      <c r="Z355" s="2"/>
      <c r="AA355" s="2"/>
      <c r="AB355" s="2"/>
      <c r="AC355" s="2"/>
      <c r="AD355" s="2"/>
      <c r="AE355" s="2"/>
    </row>
    <row r="356" spans="6:31" ht="12.5" x14ac:dyDescent="0.25">
      <c r="F356" s="2"/>
      <c r="I356" s="2"/>
      <c r="J356" s="2"/>
      <c r="M356" s="2"/>
      <c r="N356" s="2"/>
      <c r="W356" s="2"/>
      <c r="X356" s="2"/>
      <c r="Y356" s="2"/>
      <c r="Z356" s="2"/>
      <c r="AA356" s="2"/>
      <c r="AB356" s="2"/>
      <c r="AC356" s="2"/>
      <c r="AD356" s="2"/>
      <c r="AE356" s="2"/>
    </row>
    <row r="357" spans="6:31" ht="12.5" x14ac:dyDescent="0.25">
      <c r="F357" s="2"/>
      <c r="I357" s="2"/>
      <c r="J357" s="2"/>
      <c r="M357" s="2"/>
      <c r="N357" s="2"/>
      <c r="W357" s="2"/>
      <c r="X357" s="2"/>
      <c r="Y357" s="2"/>
      <c r="Z357" s="2"/>
      <c r="AA357" s="2"/>
      <c r="AB357" s="2"/>
      <c r="AC357" s="2"/>
      <c r="AD357" s="2"/>
      <c r="AE357" s="2"/>
    </row>
    <row r="358" spans="6:31" ht="12.5" x14ac:dyDescent="0.25">
      <c r="F358" s="2"/>
      <c r="I358" s="2"/>
      <c r="J358" s="2"/>
      <c r="M358" s="2"/>
      <c r="N358" s="2"/>
      <c r="W358" s="2"/>
      <c r="X358" s="2"/>
      <c r="Y358" s="2"/>
      <c r="Z358" s="2"/>
      <c r="AA358" s="2"/>
      <c r="AB358" s="2"/>
      <c r="AC358" s="2"/>
      <c r="AD358" s="2"/>
      <c r="AE358" s="2"/>
    </row>
    <row r="359" spans="6:31" ht="12.5" x14ac:dyDescent="0.25">
      <c r="F359" s="2"/>
      <c r="I359" s="2"/>
      <c r="J359" s="2"/>
      <c r="M359" s="2"/>
      <c r="N359" s="2"/>
      <c r="W359" s="2"/>
      <c r="X359" s="2"/>
      <c r="Y359" s="2"/>
      <c r="Z359" s="2"/>
      <c r="AA359" s="2"/>
      <c r="AB359" s="2"/>
      <c r="AC359" s="2"/>
      <c r="AD359" s="2"/>
      <c r="AE359" s="2"/>
    </row>
    <row r="360" spans="6:31" ht="12.5" x14ac:dyDescent="0.25">
      <c r="F360" s="2"/>
      <c r="I360" s="2"/>
      <c r="J360" s="2"/>
      <c r="M360" s="2"/>
      <c r="N360" s="2"/>
      <c r="W360" s="2"/>
      <c r="X360" s="2"/>
      <c r="Y360" s="2"/>
      <c r="Z360" s="2"/>
      <c r="AA360" s="2"/>
      <c r="AB360" s="2"/>
      <c r="AC360" s="2"/>
      <c r="AD360" s="2"/>
      <c r="AE360" s="2"/>
    </row>
    <row r="361" spans="6:31" ht="12.5" x14ac:dyDescent="0.25">
      <c r="F361" s="2"/>
      <c r="I361" s="2"/>
      <c r="J361" s="2"/>
      <c r="M361" s="2"/>
      <c r="N361" s="2"/>
      <c r="W361" s="2"/>
      <c r="X361" s="2"/>
      <c r="Y361" s="2"/>
      <c r="Z361" s="2"/>
      <c r="AA361" s="2"/>
      <c r="AB361" s="2"/>
      <c r="AC361" s="2"/>
      <c r="AD361" s="2"/>
      <c r="AE361" s="2"/>
    </row>
    <row r="362" spans="6:31" ht="12.5" x14ac:dyDescent="0.25">
      <c r="F362" s="2"/>
      <c r="I362" s="2"/>
      <c r="J362" s="2"/>
      <c r="M362" s="2"/>
      <c r="N362" s="2"/>
      <c r="W362" s="2"/>
      <c r="X362" s="2"/>
      <c r="Y362" s="2"/>
      <c r="Z362" s="2"/>
      <c r="AA362" s="2"/>
      <c r="AB362" s="2"/>
      <c r="AC362" s="2"/>
      <c r="AD362" s="2"/>
      <c r="AE362" s="2"/>
    </row>
    <row r="363" spans="6:31" ht="12.5" x14ac:dyDescent="0.25">
      <c r="F363" s="2"/>
      <c r="I363" s="2"/>
      <c r="J363" s="2"/>
      <c r="M363" s="2"/>
      <c r="N363" s="2"/>
      <c r="W363" s="2"/>
      <c r="X363" s="2"/>
      <c r="Y363" s="2"/>
      <c r="Z363" s="2"/>
      <c r="AA363" s="2"/>
      <c r="AB363" s="2"/>
      <c r="AC363" s="2"/>
      <c r="AD363" s="2"/>
      <c r="AE363" s="2"/>
    </row>
    <row r="364" spans="6:31" ht="12.5" x14ac:dyDescent="0.25">
      <c r="F364" s="2"/>
      <c r="I364" s="2"/>
      <c r="J364" s="2"/>
      <c r="M364" s="2"/>
      <c r="N364" s="2"/>
      <c r="W364" s="2"/>
      <c r="X364" s="2"/>
      <c r="Y364" s="2"/>
      <c r="Z364" s="2"/>
      <c r="AA364" s="2"/>
      <c r="AB364" s="2"/>
      <c r="AC364" s="2"/>
      <c r="AD364" s="2"/>
      <c r="AE364" s="2"/>
    </row>
    <row r="365" spans="6:31" ht="12.5" x14ac:dyDescent="0.25">
      <c r="F365" s="2"/>
      <c r="I365" s="2"/>
      <c r="J365" s="2"/>
      <c r="M365" s="2"/>
      <c r="N365" s="2"/>
      <c r="W365" s="2"/>
      <c r="X365" s="2"/>
      <c r="Y365" s="2"/>
      <c r="Z365" s="2"/>
      <c r="AA365" s="2"/>
      <c r="AB365" s="2"/>
      <c r="AC365" s="2"/>
      <c r="AD365" s="2"/>
      <c r="AE365" s="2"/>
    </row>
    <row r="366" spans="6:31" ht="12.5" x14ac:dyDescent="0.25">
      <c r="F366" s="2"/>
      <c r="I366" s="2"/>
      <c r="J366" s="2"/>
      <c r="M366" s="2"/>
      <c r="N366" s="2"/>
      <c r="W366" s="2"/>
      <c r="X366" s="2"/>
      <c r="Y366" s="2"/>
      <c r="Z366" s="2"/>
      <c r="AA366" s="2"/>
      <c r="AB366" s="2"/>
      <c r="AC366" s="2"/>
      <c r="AD366" s="2"/>
      <c r="AE366" s="2"/>
    </row>
    <row r="367" spans="6:31" ht="12.5" x14ac:dyDescent="0.25">
      <c r="F367" s="2"/>
      <c r="I367" s="2"/>
      <c r="J367" s="2"/>
      <c r="M367" s="2"/>
      <c r="N367" s="2"/>
      <c r="W367" s="2"/>
      <c r="X367" s="2"/>
      <c r="Y367" s="2"/>
      <c r="Z367" s="2"/>
      <c r="AA367" s="2"/>
      <c r="AB367" s="2"/>
      <c r="AC367" s="2"/>
      <c r="AD367" s="2"/>
      <c r="AE367" s="2"/>
    </row>
    <row r="368" spans="6:31" ht="12.5" x14ac:dyDescent="0.25">
      <c r="F368" s="2"/>
      <c r="I368" s="2"/>
      <c r="J368" s="2"/>
      <c r="M368" s="2"/>
      <c r="N368" s="2"/>
      <c r="W368" s="2"/>
      <c r="X368" s="2"/>
      <c r="Y368" s="2"/>
      <c r="Z368" s="2"/>
      <c r="AA368" s="2"/>
      <c r="AB368" s="2"/>
      <c r="AC368" s="2"/>
      <c r="AD368" s="2"/>
      <c r="AE368" s="2"/>
    </row>
    <row r="369" spans="6:31" ht="12.5" x14ac:dyDescent="0.25">
      <c r="F369" s="2"/>
      <c r="I369" s="2"/>
      <c r="J369" s="2"/>
      <c r="M369" s="2"/>
      <c r="N369" s="2"/>
      <c r="W369" s="2"/>
      <c r="X369" s="2"/>
      <c r="Y369" s="2"/>
      <c r="Z369" s="2"/>
      <c r="AA369" s="2"/>
      <c r="AB369" s="2"/>
      <c r="AC369" s="2"/>
      <c r="AD369" s="2"/>
      <c r="AE369" s="2"/>
    </row>
    <row r="370" spans="6:31" ht="12.5" x14ac:dyDescent="0.25">
      <c r="F370" s="2"/>
      <c r="I370" s="2"/>
      <c r="J370" s="2"/>
      <c r="M370" s="2"/>
      <c r="N370" s="2"/>
      <c r="W370" s="2"/>
      <c r="X370" s="2"/>
      <c r="Y370" s="2"/>
      <c r="Z370" s="2"/>
      <c r="AA370" s="2"/>
      <c r="AB370" s="2"/>
      <c r="AC370" s="2"/>
      <c r="AD370" s="2"/>
      <c r="AE370" s="2"/>
    </row>
    <row r="371" spans="6:31" ht="12.5" x14ac:dyDescent="0.25">
      <c r="F371" s="2"/>
      <c r="I371" s="2"/>
      <c r="J371" s="2"/>
      <c r="M371" s="2"/>
      <c r="N371" s="2"/>
      <c r="W371" s="2"/>
      <c r="X371" s="2"/>
      <c r="Y371" s="2"/>
      <c r="Z371" s="2"/>
      <c r="AA371" s="2"/>
      <c r="AB371" s="2"/>
      <c r="AC371" s="2"/>
      <c r="AD371" s="2"/>
      <c r="AE371" s="2"/>
    </row>
    <row r="372" spans="6:31" ht="12.5" x14ac:dyDescent="0.25">
      <c r="F372" s="2"/>
      <c r="I372" s="2"/>
      <c r="J372" s="2"/>
      <c r="M372" s="2"/>
      <c r="N372" s="2"/>
      <c r="W372" s="2"/>
      <c r="X372" s="2"/>
      <c r="Y372" s="2"/>
      <c r="Z372" s="2"/>
      <c r="AA372" s="2"/>
      <c r="AB372" s="2"/>
      <c r="AC372" s="2"/>
      <c r="AD372" s="2"/>
      <c r="AE372" s="2"/>
    </row>
    <row r="373" spans="6:31" ht="12.5" x14ac:dyDescent="0.25">
      <c r="F373" s="2"/>
      <c r="I373" s="2"/>
      <c r="J373" s="2"/>
      <c r="M373" s="2"/>
      <c r="N373" s="2"/>
      <c r="W373" s="2"/>
      <c r="X373" s="2"/>
      <c r="Y373" s="2"/>
      <c r="Z373" s="2"/>
      <c r="AA373" s="2"/>
      <c r="AB373" s="2"/>
      <c r="AC373" s="2"/>
      <c r="AD373" s="2"/>
      <c r="AE373" s="2"/>
    </row>
    <row r="374" spans="6:31" ht="12.5" x14ac:dyDescent="0.25">
      <c r="F374" s="2"/>
      <c r="I374" s="2"/>
      <c r="J374" s="2"/>
      <c r="M374" s="2"/>
      <c r="N374" s="2"/>
      <c r="W374" s="2"/>
      <c r="X374" s="2"/>
      <c r="Y374" s="2"/>
      <c r="Z374" s="2"/>
      <c r="AA374" s="2"/>
      <c r="AB374" s="2"/>
      <c r="AC374" s="2"/>
      <c r="AD374" s="2"/>
      <c r="AE374" s="2"/>
    </row>
    <row r="375" spans="6:31" ht="12.5" x14ac:dyDescent="0.25">
      <c r="F375" s="2"/>
      <c r="I375" s="2"/>
      <c r="J375" s="2"/>
      <c r="M375" s="2"/>
      <c r="N375" s="2"/>
      <c r="W375" s="2"/>
      <c r="X375" s="2"/>
      <c r="Y375" s="2"/>
      <c r="Z375" s="2"/>
      <c r="AA375" s="2"/>
      <c r="AB375" s="2"/>
      <c r="AC375" s="2"/>
      <c r="AD375" s="2"/>
      <c r="AE375" s="2"/>
    </row>
    <row r="376" spans="6:31" ht="12.5" x14ac:dyDescent="0.25">
      <c r="F376" s="2"/>
      <c r="I376" s="2"/>
      <c r="J376" s="2"/>
      <c r="M376" s="2"/>
      <c r="N376" s="2"/>
      <c r="W376" s="2"/>
      <c r="X376" s="2"/>
      <c r="Y376" s="2"/>
      <c r="Z376" s="2"/>
      <c r="AA376" s="2"/>
      <c r="AB376" s="2"/>
      <c r="AC376" s="2"/>
      <c r="AD376" s="2"/>
      <c r="AE376" s="2"/>
    </row>
    <row r="377" spans="6:31" ht="12.5" x14ac:dyDescent="0.25">
      <c r="F377" s="2"/>
      <c r="I377" s="2"/>
      <c r="J377" s="2"/>
      <c r="M377" s="2"/>
      <c r="N377" s="2"/>
      <c r="W377" s="2"/>
      <c r="X377" s="2"/>
      <c r="Y377" s="2"/>
      <c r="Z377" s="2"/>
      <c r="AA377" s="2"/>
      <c r="AB377" s="2"/>
      <c r="AC377" s="2"/>
      <c r="AD377" s="2"/>
      <c r="AE377" s="2"/>
    </row>
    <row r="378" spans="6:31" ht="12.5" x14ac:dyDescent="0.25">
      <c r="F378" s="2"/>
      <c r="I378" s="2"/>
      <c r="J378" s="2"/>
      <c r="M378" s="2"/>
      <c r="N378" s="2"/>
      <c r="W378" s="2"/>
      <c r="X378" s="2"/>
      <c r="Y378" s="2"/>
      <c r="Z378" s="2"/>
      <c r="AA378" s="2"/>
      <c r="AB378" s="2"/>
      <c r="AC378" s="2"/>
      <c r="AD378" s="2"/>
      <c r="AE378" s="2"/>
    </row>
    <row r="379" spans="6:31" ht="12.5" x14ac:dyDescent="0.25">
      <c r="F379" s="2"/>
      <c r="I379" s="2"/>
      <c r="J379" s="2"/>
      <c r="M379" s="2"/>
      <c r="N379" s="2"/>
      <c r="W379" s="2"/>
      <c r="X379" s="2"/>
      <c r="Y379" s="2"/>
      <c r="Z379" s="2"/>
      <c r="AA379" s="2"/>
      <c r="AB379" s="2"/>
      <c r="AC379" s="2"/>
      <c r="AD379" s="2"/>
      <c r="AE379" s="2"/>
    </row>
    <row r="380" spans="6:31" ht="12.5" x14ac:dyDescent="0.25">
      <c r="F380" s="2"/>
      <c r="I380" s="2"/>
      <c r="J380" s="2"/>
      <c r="M380" s="2"/>
      <c r="N380" s="2"/>
      <c r="W380" s="2"/>
      <c r="X380" s="2"/>
      <c r="Y380" s="2"/>
      <c r="Z380" s="2"/>
      <c r="AA380" s="2"/>
      <c r="AB380" s="2"/>
      <c r="AC380" s="2"/>
      <c r="AD380" s="2"/>
      <c r="AE380" s="2"/>
    </row>
    <row r="381" spans="6:31" ht="12.5" x14ac:dyDescent="0.25">
      <c r="F381" s="2"/>
      <c r="I381" s="2"/>
      <c r="J381" s="2"/>
      <c r="M381" s="2"/>
      <c r="N381" s="2"/>
      <c r="W381" s="2"/>
      <c r="X381" s="2"/>
      <c r="Y381" s="2"/>
      <c r="Z381" s="2"/>
      <c r="AA381" s="2"/>
      <c r="AB381" s="2"/>
      <c r="AC381" s="2"/>
      <c r="AD381" s="2"/>
      <c r="AE381" s="2"/>
    </row>
    <row r="382" spans="6:31" ht="12.5" x14ac:dyDescent="0.25">
      <c r="F382" s="2"/>
      <c r="I382" s="2"/>
      <c r="J382" s="2"/>
      <c r="M382" s="2"/>
      <c r="N382" s="2"/>
      <c r="W382" s="2"/>
      <c r="X382" s="2"/>
      <c r="Y382" s="2"/>
      <c r="Z382" s="2"/>
      <c r="AA382" s="2"/>
      <c r="AB382" s="2"/>
      <c r="AC382" s="2"/>
      <c r="AD382" s="2"/>
      <c r="AE382" s="2"/>
    </row>
    <row r="383" spans="6:31" ht="12.5" x14ac:dyDescent="0.25">
      <c r="F383" s="2"/>
      <c r="I383" s="2"/>
      <c r="J383" s="2"/>
      <c r="M383" s="2"/>
      <c r="N383" s="2"/>
      <c r="W383" s="2"/>
      <c r="X383" s="2"/>
      <c r="Y383" s="2"/>
      <c r="Z383" s="2"/>
      <c r="AA383" s="2"/>
      <c r="AB383" s="2"/>
      <c r="AC383" s="2"/>
      <c r="AD383" s="2"/>
      <c r="AE383" s="2"/>
    </row>
    <row r="384" spans="6:31" ht="12.5" x14ac:dyDescent="0.25">
      <c r="F384" s="2"/>
      <c r="I384" s="2"/>
      <c r="J384" s="2"/>
      <c r="M384" s="2"/>
      <c r="N384" s="2"/>
      <c r="W384" s="2"/>
      <c r="X384" s="2"/>
      <c r="Y384" s="2"/>
      <c r="Z384" s="2"/>
      <c r="AA384" s="2"/>
      <c r="AB384" s="2"/>
      <c r="AC384" s="2"/>
      <c r="AD384" s="2"/>
      <c r="AE384" s="2"/>
    </row>
    <row r="385" spans="6:31" ht="12.5" x14ac:dyDescent="0.25">
      <c r="F385" s="2"/>
      <c r="I385" s="2"/>
      <c r="J385" s="2"/>
      <c r="M385" s="2"/>
      <c r="N385" s="2"/>
      <c r="W385" s="2"/>
      <c r="X385" s="2"/>
      <c r="Y385" s="2"/>
      <c r="Z385" s="2"/>
      <c r="AA385" s="2"/>
      <c r="AB385" s="2"/>
      <c r="AC385" s="2"/>
      <c r="AD385" s="2"/>
      <c r="AE385" s="2"/>
    </row>
    <row r="386" spans="6:31" ht="12.5" x14ac:dyDescent="0.25">
      <c r="F386" s="2"/>
      <c r="I386" s="2"/>
      <c r="J386" s="2"/>
      <c r="M386" s="2"/>
      <c r="N386" s="2"/>
      <c r="W386" s="2"/>
      <c r="X386" s="2"/>
      <c r="Y386" s="2"/>
      <c r="Z386" s="2"/>
      <c r="AA386" s="2"/>
      <c r="AB386" s="2"/>
      <c r="AC386" s="2"/>
      <c r="AD386" s="2"/>
      <c r="AE386" s="2"/>
    </row>
    <row r="387" spans="6:31" ht="12.5" x14ac:dyDescent="0.25">
      <c r="F387" s="2"/>
      <c r="I387" s="2"/>
      <c r="J387" s="2"/>
      <c r="M387" s="2"/>
      <c r="N387" s="2"/>
      <c r="W387" s="2"/>
      <c r="X387" s="2"/>
      <c r="Y387" s="2"/>
      <c r="Z387" s="2"/>
      <c r="AA387" s="2"/>
      <c r="AB387" s="2"/>
      <c r="AC387" s="2"/>
      <c r="AD387" s="2"/>
      <c r="AE387" s="2"/>
    </row>
    <row r="388" spans="6:31" ht="12.5" x14ac:dyDescent="0.25">
      <c r="F388" s="2"/>
      <c r="I388" s="2"/>
      <c r="J388" s="2"/>
      <c r="M388" s="2"/>
      <c r="N388" s="2"/>
      <c r="W388" s="2"/>
      <c r="X388" s="2"/>
      <c r="Y388" s="2"/>
      <c r="Z388" s="2"/>
      <c r="AA388" s="2"/>
      <c r="AB388" s="2"/>
      <c r="AC388" s="2"/>
      <c r="AD388" s="2"/>
      <c r="AE388" s="2"/>
    </row>
    <row r="389" spans="6:31" ht="12.5" x14ac:dyDescent="0.25">
      <c r="F389" s="2"/>
      <c r="I389" s="2"/>
      <c r="J389" s="2"/>
      <c r="M389" s="2"/>
      <c r="N389" s="2"/>
      <c r="W389" s="2"/>
      <c r="X389" s="2"/>
      <c r="Y389" s="2"/>
      <c r="Z389" s="2"/>
      <c r="AA389" s="2"/>
      <c r="AB389" s="2"/>
      <c r="AC389" s="2"/>
      <c r="AD389" s="2"/>
      <c r="AE389" s="2"/>
    </row>
    <row r="390" spans="6:31" ht="12.5" x14ac:dyDescent="0.25">
      <c r="F390" s="2"/>
      <c r="I390" s="2"/>
      <c r="J390" s="2"/>
      <c r="M390" s="2"/>
      <c r="N390" s="2"/>
      <c r="W390" s="2"/>
      <c r="X390" s="2"/>
      <c r="Y390" s="2"/>
      <c r="Z390" s="2"/>
      <c r="AA390" s="2"/>
      <c r="AB390" s="2"/>
      <c r="AC390" s="2"/>
      <c r="AD390" s="2"/>
      <c r="AE390" s="2"/>
    </row>
    <row r="391" spans="6:31" ht="12.5" x14ac:dyDescent="0.25">
      <c r="F391" s="2"/>
      <c r="I391" s="2"/>
      <c r="J391" s="2"/>
      <c r="M391" s="2"/>
      <c r="N391" s="2"/>
      <c r="W391" s="2"/>
      <c r="X391" s="2"/>
      <c r="Y391" s="2"/>
      <c r="Z391" s="2"/>
      <c r="AA391" s="2"/>
      <c r="AB391" s="2"/>
      <c r="AC391" s="2"/>
      <c r="AD391" s="2"/>
      <c r="AE391" s="2"/>
    </row>
    <row r="392" spans="6:31" ht="12.5" x14ac:dyDescent="0.25">
      <c r="F392" s="2"/>
      <c r="I392" s="2"/>
      <c r="J392" s="2"/>
      <c r="M392" s="2"/>
      <c r="N392" s="2"/>
      <c r="W392" s="2"/>
      <c r="X392" s="2"/>
      <c r="Y392" s="2"/>
      <c r="Z392" s="2"/>
      <c r="AA392" s="2"/>
      <c r="AB392" s="2"/>
      <c r="AC392" s="2"/>
      <c r="AD392" s="2"/>
      <c r="AE392" s="2"/>
    </row>
    <row r="393" spans="6:31" ht="12.5" x14ac:dyDescent="0.25">
      <c r="F393" s="2"/>
      <c r="I393" s="2"/>
      <c r="J393" s="2"/>
      <c r="M393" s="2"/>
      <c r="N393" s="2"/>
      <c r="W393" s="2"/>
      <c r="X393" s="2"/>
      <c r="Y393" s="2"/>
      <c r="Z393" s="2"/>
      <c r="AA393" s="2"/>
      <c r="AB393" s="2"/>
      <c r="AC393" s="2"/>
      <c r="AD393" s="2"/>
      <c r="AE393" s="2"/>
    </row>
    <row r="394" spans="6:31" ht="12.5" x14ac:dyDescent="0.25">
      <c r="F394" s="2"/>
      <c r="I394" s="2"/>
      <c r="J394" s="2"/>
      <c r="M394" s="2"/>
      <c r="N394" s="2"/>
      <c r="W394" s="2"/>
      <c r="X394" s="2"/>
      <c r="Y394" s="2"/>
      <c r="Z394" s="2"/>
      <c r="AA394" s="2"/>
      <c r="AB394" s="2"/>
      <c r="AC394" s="2"/>
      <c r="AD394" s="2"/>
      <c r="AE394" s="2"/>
    </row>
    <row r="395" spans="6:31" ht="12.5" x14ac:dyDescent="0.25">
      <c r="F395" s="2"/>
      <c r="I395" s="2"/>
      <c r="J395" s="2"/>
      <c r="M395" s="2"/>
      <c r="N395" s="2"/>
      <c r="W395" s="2"/>
      <c r="X395" s="2"/>
      <c r="Y395" s="2"/>
      <c r="Z395" s="2"/>
      <c r="AA395" s="2"/>
      <c r="AB395" s="2"/>
      <c r="AC395" s="2"/>
      <c r="AD395" s="2"/>
      <c r="AE395" s="2"/>
    </row>
    <row r="396" spans="6:31" ht="12.5" x14ac:dyDescent="0.25">
      <c r="F396" s="2"/>
      <c r="I396" s="2"/>
      <c r="J396" s="2"/>
      <c r="M396" s="2"/>
      <c r="N396" s="2"/>
      <c r="W396" s="2"/>
      <c r="X396" s="2"/>
      <c r="Y396" s="2"/>
      <c r="Z396" s="2"/>
      <c r="AA396" s="2"/>
      <c r="AB396" s="2"/>
      <c r="AC396" s="2"/>
      <c r="AD396" s="2"/>
      <c r="AE396" s="2"/>
    </row>
    <row r="397" spans="6:31" ht="12.5" x14ac:dyDescent="0.25">
      <c r="F397" s="2"/>
      <c r="I397" s="2"/>
      <c r="J397" s="2"/>
      <c r="M397" s="2"/>
      <c r="N397" s="2"/>
      <c r="W397" s="2"/>
      <c r="X397" s="2"/>
      <c r="Y397" s="2"/>
      <c r="Z397" s="2"/>
      <c r="AA397" s="2"/>
      <c r="AB397" s="2"/>
      <c r="AC397" s="2"/>
      <c r="AD397" s="2"/>
      <c r="AE397" s="2"/>
    </row>
    <row r="398" spans="6:31" ht="12.5" x14ac:dyDescent="0.25">
      <c r="F398" s="2"/>
      <c r="I398" s="2"/>
      <c r="J398" s="2"/>
      <c r="M398" s="2"/>
      <c r="N398" s="2"/>
      <c r="W398" s="2"/>
      <c r="X398" s="2"/>
      <c r="Y398" s="2"/>
      <c r="Z398" s="2"/>
      <c r="AA398" s="2"/>
      <c r="AB398" s="2"/>
      <c r="AC398" s="2"/>
      <c r="AD398" s="2"/>
      <c r="AE398" s="2"/>
    </row>
    <row r="399" spans="6:31" ht="12.5" x14ac:dyDescent="0.25">
      <c r="F399" s="2"/>
      <c r="I399" s="2"/>
      <c r="J399" s="2"/>
      <c r="M399" s="2"/>
      <c r="N399" s="2"/>
      <c r="W399" s="2"/>
      <c r="X399" s="2"/>
      <c r="Y399" s="2"/>
      <c r="Z399" s="2"/>
      <c r="AA399" s="2"/>
      <c r="AB399" s="2"/>
      <c r="AC399" s="2"/>
      <c r="AD399" s="2"/>
      <c r="AE399" s="2"/>
    </row>
    <row r="400" spans="6:31" ht="12.5" x14ac:dyDescent="0.25">
      <c r="F400" s="2"/>
      <c r="I400" s="2"/>
      <c r="J400" s="2"/>
      <c r="M400" s="2"/>
      <c r="N400" s="2"/>
      <c r="W400" s="2"/>
      <c r="X400" s="2"/>
      <c r="Y400" s="2"/>
      <c r="Z400" s="2"/>
      <c r="AA400" s="2"/>
      <c r="AB400" s="2"/>
      <c r="AC400" s="2"/>
      <c r="AD400" s="2"/>
      <c r="AE400" s="2"/>
    </row>
    <row r="401" spans="6:31" ht="12.5" x14ac:dyDescent="0.25">
      <c r="F401" s="2"/>
      <c r="I401" s="2"/>
      <c r="J401" s="2"/>
      <c r="M401" s="2"/>
      <c r="N401" s="2"/>
      <c r="W401" s="2"/>
      <c r="X401" s="2"/>
      <c r="Y401" s="2"/>
      <c r="Z401" s="2"/>
      <c r="AA401" s="2"/>
      <c r="AB401" s="2"/>
      <c r="AC401" s="2"/>
      <c r="AD401" s="2"/>
      <c r="AE401" s="2"/>
    </row>
    <row r="402" spans="6:31" ht="12.5" x14ac:dyDescent="0.25">
      <c r="F402" s="2"/>
      <c r="I402" s="2"/>
      <c r="J402" s="2"/>
      <c r="M402" s="2"/>
      <c r="N402" s="2"/>
      <c r="W402" s="2"/>
      <c r="X402" s="2"/>
      <c r="Y402" s="2"/>
      <c r="Z402" s="2"/>
      <c r="AA402" s="2"/>
      <c r="AB402" s="2"/>
      <c r="AC402" s="2"/>
      <c r="AD402" s="2"/>
      <c r="AE402" s="2"/>
    </row>
    <row r="403" spans="6:31" ht="12.5" x14ac:dyDescent="0.25">
      <c r="F403" s="2"/>
      <c r="I403" s="2"/>
      <c r="J403" s="2"/>
      <c r="M403" s="2"/>
      <c r="N403" s="2"/>
      <c r="W403" s="2"/>
      <c r="X403" s="2"/>
      <c r="Y403" s="2"/>
      <c r="Z403" s="2"/>
      <c r="AA403" s="2"/>
      <c r="AB403" s="2"/>
      <c r="AC403" s="2"/>
      <c r="AD403" s="2"/>
      <c r="AE403" s="2"/>
    </row>
    <row r="404" spans="6:31" ht="12.5" x14ac:dyDescent="0.25">
      <c r="F404" s="2"/>
      <c r="I404" s="2"/>
      <c r="J404" s="2"/>
      <c r="M404" s="2"/>
      <c r="N404" s="2"/>
      <c r="W404" s="2"/>
      <c r="X404" s="2"/>
      <c r="Y404" s="2"/>
      <c r="Z404" s="2"/>
      <c r="AA404" s="2"/>
      <c r="AB404" s="2"/>
      <c r="AC404" s="2"/>
      <c r="AD404" s="2"/>
      <c r="AE404" s="2"/>
    </row>
    <row r="405" spans="6:31" ht="12.5" x14ac:dyDescent="0.25">
      <c r="F405" s="2"/>
      <c r="I405" s="2"/>
      <c r="J405" s="2"/>
      <c r="M405" s="2"/>
      <c r="N405" s="2"/>
      <c r="W405" s="2"/>
      <c r="X405" s="2"/>
      <c r="Y405" s="2"/>
      <c r="Z405" s="2"/>
      <c r="AA405" s="2"/>
      <c r="AB405" s="2"/>
      <c r="AC405" s="2"/>
      <c r="AD405" s="2"/>
      <c r="AE405" s="2"/>
    </row>
    <row r="406" spans="6:31" ht="12.5" x14ac:dyDescent="0.25">
      <c r="F406" s="2"/>
      <c r="I406" s="2"/>
      <c r="J406" s="2"/>
      <c r="M406" s="2"/>
      <c r="N406" s="2"/>
      <c r="W406" s="2"/>
      <c r="X406" s="2"/>
      <c r="Y406" s="2"/>
      <c r="Z406" s="2"/>
      <c r="AA406" s="2"/>
      <c r="AB406" s="2"/>
      <c r="AC406" s="2"/>
      <c r="AD406" s="2"/>
      <c r="AE406" s="2"/>
    </row>
    <row r="407" spans="6:31" ht="12.5" x14ac:dyDescent="0.25">
      <c r="F407" s="2"/>
      <c r="I407" s="2"/>
      <c r="J407" s="2"/>
      <c r="M407" s="2"/>
      <c r="N407" s="2"/>
      <c r="W407" s="2"/>
      <c r="X407" s="2"/>
      <c r="Y407" s="2"/>
      <c r="Z407" s="2"/>
      <c r="AA407" s="2"/>
      <c r="AB407" s="2"/>
      <c r="AC407" s="2"/>
      <c r="AD407" s="2"/>
      <c r="AE407" s="2"/>
    </row>
    <row r="408" spans="6:31" ht="12.5" x14ac:dyDescent="0.25">
      <c r="F408" s="2"/>
      <c r="I408" s="2"/>
      <c r="J408" s="2"/>
      <c r="M408" s="2"/>
      <c r="N408" s="2"/>
      <c r="W408" s="2"/>
      <c r="X408" s="2"/>
      <c r="Y408" s="2"/>
      <c r="Z408" s="2"/>
      <c r="AA408" s="2"/>
      <c r="AB408" s="2"/>
      <c r="AC408" s="2"/>
      <c r="AD408" s="2"/>
      <c r="AE408" s="2"/>
    </row>
    <row r="409" spans="6:31" ht="12.5" x14ac:dyDescent="0.25">
      <c r="F409" s="2"/>
      <c r="I409" s="2"/>
      <c r="J409" s="2"/>
      <c r="M409" s="2"/>
      <c r="N409" s="2"/>
      <c r="W409" s="2"/>
      <c r="X409" s="2"/>
      <c r="Y409" s="2"/>
      <c r="Z409" s="2"/>
      <c r="AA409" s="2"/>
      <c r="AB409" s="2"/>
      <c r="AC409" s="2"/>
      <c r="AD409" s="2"/>
      <c r="AE409" s="2"/>
    </row>
    <row r="410" spans="6:31" ht="12.5" x14ac:dyDescent="0.25">
      <c r="F410" s="2"/>
      <c r="I410" s="2"/>
      <c r="J410" s="2"/>
      <c r="M410" s="2"/>
      <c r="N410" s="2"/>
      <c r="W410" s="2"/>
      <c r="X410" s="2"/>
      <c r="Y410" s="2"/>
      <c r="Z410" s="2"/>
      <c r="AA410" s="2"/>
      <c r="AB410" s="2"/>
      <c r="AC410" s="2"/>
      <c r="AD410" s="2"/>
      <c r="AE410" s="2"/>
    </row>
    <row r="411" spans="6:31" ht="12.5" x14ac:dyDescent="0.25">
      <c r="F411" s="2"/>
      <c r="I411" s="2"/>
      <c r="J411" s="2"/>
      <c r="M411" s="2"/>
      <c r="N411" s="2"/>
      <c r="W411" s="2"/>
      <c r="X411" s="2"/>
      <c r="Y411" s="2"/>
      <c r="Z411" s="2"/>
      <c r="AA411" s="2"/>
      <c r="AB411" s="2"/>
      <c r="AC411" s="2"/>
      <c r="AD411" s="2"/>
      <c r="AE411" s="2"/>
    </row>
    <row r="412" spans="6:31" ht="12.5" x14ac:dyDescent="0.25">
      <c r="F412" s="2"/>
      <c r="I412" s="2"/>
      <c r="J412" s="2"/>
      <c r="M412" s="2"/>
      <c r="N412" s="2"/>
      <c r="W412" s="2"/>
      <c r="X412" s="2"/>
      <c r="Y412" s="2"/>
      <c r="Z412" s="2"/>
      <c r="AA412" s="2"/>
      <c r="AB412" s="2"/>
      <c r="AC412" s="2"/>
      <c r="AD412" s="2"/>
      <c r="AE412" s="2"/>
    </row>
    <row r="413" spans="6:31" ht="12.5" x14ac:dyDescent="0.25">
      <c r="F413" s="2"/>
      <c r="I413" s="2"/>
      <c r="J413" s="2"/>
      <c r="M413" s="2"/>
      <c r="N413" s="2"/>
      <c r="W413" s="2"/>
      <c r="X413" s="2"/>
      <c r="Y413" s="2"/>
      <c r="Z413" s="2"/>
      <c r="AA413" s="2"/>
      <c r="AB413" s="2"/>
      <c r="AC413" s="2"/>
      <c r="AD413" s="2"/>
      <c r="AE413" s="2"/>
    </row>
    <row r="414" spans="6:31" ht="12.5" x14ac:dyDescent="0.25">
      <c r="F414" s="2"/>
      <c r="I414" s="2"/>
      <c r="J414" s="2"/>
      <c r="M414" s="2"/>
      <c r="N414" s="2"/>
      <c r="W414" s="2"/>
      <c r="X414" s="2"/>
      <c r="Y414" s="2"/>
      <c r="Z414" s="2"/>
      <c r="AA414" s="2"/>
      <c r="AB414" s="2"/>
      <c r="AC414" s="2"/>
      <c r="AD414" s="2"/>
      <c r="AE414" s="2"/>
    </row>
    <row r="415" spans="6:31" ht="12.5" x14ac:dyDescent="0.25">
      <c r="F415" s="2"/>
      <c r="I415" s="2"/>
      <c r="J415" s="2"/>
      <c r="M415" s="2"/>
      <c r="N415" s="2"/>
      <c r="W415" s="2"/>
      <c r="X415" s="2"/>
      <c r="Y415" s="2"/>
      <c r="Z415" s="2"/>
      <c r="AA415" s="2"/>
      <c r="AB415" s="2"/>
      <c r="AC415" s="2"/>
      <c r="AD415" s="2"/>
      <c r="AE415" s="2"/>
    </row>
    <row r="416" spans="6:31" ht="12.5" x14ac:dyDescent="0.25">
      <c r="F416" s="2"/>
      <c r="I416" s="2"/>
      <c r="J416" s="2"/>
      <c r="M416" s="2"/>
      <c r="N416" s="2"/>
      <c r="W416" s="2"/>
      <c r="X416" s="2"/>
      <c r="Y416" s="2"/>
      <c r="Z416" s="2"/>
      <c r="AA416" s="2"/>
      <c r="AB416" s="2"/>
      <c r="AC416" s="2"/>
      <c r="AD416" s="2"/>
      <c r="AE416" s="2"/>
    </row>
    <row r="417" spans="6:31" ht="12.5" x14ac:dyDescent="0.25">
      <c r="F417" s="2"/>
      <c r="I417" s="2"/>
      <c r="J417" s="2"/>
      <c r="M417" s="2"/>
      <c r="N417" s="2"/>
      <c r="W417" s="2"/>
      <c r="X417" s="2"/>
      <c r="Y417" s="2"/>
      <c r="Z417" s="2"/>
      <c r="AA417" s="2"/>
      <c r="AB417" s="2"/>
      <c r="AC417" s="2"/>
      <c r="AD417" s="2"/>
      <c r="AE417" s="2"/>
    </row>
    <row r="418" spans="6:31" ht="12.5" x14ac:dyDescent="0.25">
      <c r="F418" s="2"/>
      <c r="I418" s="2"/>
      <c r="J418" s="2"/>
      <c r="M418" s="2"/>
      <c r="N418" s="2"/>
      <c r="W418" s="2"/>
      <c r="X418" s="2"/>
      <c r="Y418" s="2"/>
      <c r="Z418" s="2"/>
      <c r="AA418" s="2"/>
      <c r="AB418" s="2"/>
      <c r="AC418" s="2"/>
      <c r="AD418" s="2"/>
      <c r="AE418" s="2"/>
    </row>
    <row r="419" spans="6:31" ht="12.5" x14ac:dyDescent="0.25">
      <c r="F419" s="2"/>
      <c r="I419" s="2"/>
      <c r="J419" s="2"/>
      <c r="M419" s="2"/>
      <c r="N419" s="2"/>
      <c r="W419" s="2"/>
      <c r="X419" s="2"/>
      <c r="Y419" s="2"/>
      <c r="Z419" s="2"/>
      <c r="AA419" s="2"/>
      <c r="AB419" s="2"/>
      <c r="AC419" s="2"/>
      <c r="AD419" s="2"/>
      <c r="AE419" s="2"/>
    </row>
    <row r="420" spans="6:31" ht="12.5" x14ac:dyDescent="0.25">
      <c r="F420" s="2"/>
      <c r="I420" s="2"/>
      <c r="J420" s="2"/>
      <c r="M420" s="2"/>
      <c r="N420" s="2"/>
      <c r="W420" s="2"/>
      <c r="X420" s="2"/>
      <c r="Y420" s="2"/>
      <c r="Z420" s="2"/>
      <c r="AA420" s="2"/>
      <c r="AB420" s="2"/>
      <c r="AC420" s="2"/>
      <c r="AD420" s="2"/>
      <c r="AE420" s="2"/>
    </row>
    <row r="421" spans="6:31" ht="12.5" x14ac:dyDescent="0.25">
      <c r="F421" s="2"/>
      <c r="I421" s="2"/>
      <c r="J421" s="2"/>
      <c r="M421" s="2"/>
      <c r="N421" s="2"/>
      <c r="W421" s="2"/>
      <c r="X421" s="2"/>
      <c r="Y421" s="2"/>
      <c r="Z421" s="2"/>
      <c r="AA421" s="2"/>
      <c r="AB421" s="2"/>
      <c r="AC421" s="2"/>
      <c r="AD421" s="2"/>
      <c r="AE421" s="2"/>
    </row>
    <row r="422" spans="6:31" ht="12.5" x14ac:dyDescent="0.25">
      <c r="F422" s="2"/>
      <c r="I422" s="2"/>
      <c r="J422" s="2"/>
      <c r="M422" s="2"/>
      <c r="N422" s="2"/>
      <c r="W422" s="2"/>
      <c r="X422" s="2"/>
      <c r="Y422" s="2"/>
      <c r="Z422" s="2"/>
      <c r="AA422" s="2"/>
      <c r="AB422" s="2"/>
      <c r="AC422" s="2"/>
      <c r="AD422" s="2"/>
      <c r="AE422" s="2"/>
    </row>
    <row r="423" spans="6:31" ht="12.5" x14ac:dyDescent="0.25">
      <c r="F423" s="2"/>
      <c r="I423" s="2"/>
      <c r="J423" s="2"/>
      <c r="M423" s="2"/>
      <c r="N423" s="2"/>
      <c r="W423" s="2"/>
      <c r="X423" s="2"/>
      <c r="Y423" s="2"/>
      <c r="Z423" s="2"/>
      <c r="AA423" s="2"/>
      <c r="AB423" s="2"/>
      <c r="AC423" s="2"/>
      <c r="AD423" s="2"/>
      <c r="AE423" s="2"/>
    </row>
    <row r="424" spans="6:31" ht="12.5" x14ac:dyDescent="0.25">
      <c r="F424" s="2"/>
      <c r="I424" s="2"/>
      <c r="J424" s="2"/>
      <c r="M424" s="2"/>
      <c r="N424" s="2"/>
      <c r="W424" s="2"/>
      <c r="X424" s="2"/>
      <c r="Y424" s="2"/>
      <c r="Z424" s="2"/>
      <c r="AA424" s="2"/>
      <c r="AB424" s="2"/>
      <c r="AC424" s="2"/>
      <c r="AD424" s="2"/>
      <c r="AE424" s="2"/>
    </row>
    <row r="425" spans="6:31" ht="12.5" x14ac:dyDescent="0.25">
      <c r="F425" s="2"/>
      <c r="I425" s="2"/>
      <c r="J425" s="2"/>
      <c r="M425" s="2"/>
      <c r="N425" s="2"/>
      <c r="W425" s="2"/>
      <c r="X425" s="2"/>
      <c r="Y425" s="2"/>
      <c r="Z425" s="2"/>
      <c r="AA425" s="2"/>
      <c r="AB425" s="2"/>
      <c r="AC425" s="2"/>
      <c r="AD425" s="2"/>
      <c r="AE425" s="2"/>
    </row>
    <row r="426" spans="6:31" ht="12.5" x14ac:dyDescent="0.25">
      <c r="F426" s="2"/>
      <c r="I426" s="2"/>
      <c r="J426" s="2"/>
      <c r="M426" s="2"/>
      <c r="N426" s="2"/>
      <c r="W426" s="2"/>
      <c r="X426" s="2"/>
      <c r="Y426" s="2"/>
      <c r="Z426" s="2"/>
      <c r="AA426" s="2"/>
      <c r="AB426" s="2"/>
      <c r="AC426" s="2"/>
      <c r="AD426" s="2"/>
      <c r="AE426" s="2"/>
    </row>
    <row r="427" spans="6:31" ht="12.5" x14ac:dyDescent="0.25">
      <c r="F427" s="2"/>
      <c r="I427" s="2"/>
      <c r="J427" s="2"/>
      <c r="M427" s="2"/>
      <c r="N427" s="2"/>
      <c r="W427" s="2"/>
      <c r="X427" s="2"/>
      <c r="Y427" s="2"/>
      <c r="Z427" s="2"/>
      <c r="AA427" s="2"/>
      <c r="AB427" s="2"/>
      <c r="AC427" s="2"/>
      <c r="AD427" s="2"/>
      <c r="AE427" s="2"/>
    </row>
    <row r="428" spans="6:31" ht="12.5" x14ac:dyDescent="0.25">
      <c r="F428" s="2"/>
      <c r="I428" s="2"/>
      <c r="J428" s="2"/>
      <c r="M428" s="2"/>
      <c r="N428" s="2"/>
      <c r="W428" s="2"/>
      <c r="X428" s="2"/>
      <c r="Y428" s="2"/>
      <c r="Z428" s="2"/>
      <c r="AA428" s="2"/>
      <c r="AB428" s="2"/>
      <c r="AC428" s="2"/>
      <c r="AD428" s="2"/>
      <c r="AE428" s="2"/>
    </row>
    <row r="429" spans="6:31" ht="12.5" x14ac:dyDescent="0.25">
      <c r="F429" s="2"/>
      <c r="I429" s="2"/>
      <c r="J429" s="2"/>
      <c r="M429" s="2"/>
      <c r="N429" s="2"/>
      <c r="W429" s="2"/>
      <c r="X429" s="2"/>
      <c r="Y429" s="2"/>
      <c r="Z429" s="2"/>
      <c r="AA429" s="2"/>
      <c r="AB429" s="2"/>
      <c r="AC429" s="2"/>
      <c r="AD429" s="2"/>
      <c r="AE429" s="2"/>
    </row>
    <row r="430" spans="6:31" ht="12.5" x14ac:dyDescent="0.25">
      <c r="F430" s="2"/>
      <c r="I430" s="2"/>
      <c r="J430" s="2"/>
      <c r="M430" s="2"/>
      <c r="N430" s="2"/>
      <c r="W430" s="2"/>
      <c r="X430" s="2"/>
      <c r="Y430" s="2"/>
      <c r="Z430" s="2"/>
      <c r="AA430" s="2"/>
      <c r="AB430" s="2"/>
      <c r="AC430" s="2"/>
      <c r="AD430" s="2"/>
      <c r="AE430" s="2"/>
    </row>
    <row r="431" spans="6:31" ht="12.5" x14ac:dyDescent="0.25">
      <c r="F431" s="2"/>
      <c r="I431" s="2"/>
      <c r="J431" s="2"/>
      <c r="M431" s="2"/>
      <c r="N431" s="2"/>
      <c r="W431" s="2"/>
      <c r="X431" s="2"/>
      <c r="Y431" s="2"/>
      <c r="Z431" s="2"/>
      <c r="AA431" s="2"/>
      <c r="AB431" s="2"/>
      <c r="AC431" s="2"/>
      <c r="AD431" s="2"/>
      <c r="AE431" s="2"/>
    </row>
    <row r="432" spans="6:31" ht="12.5" x14ac:dyDescent="0.25">
      <c r="F432" s="2"/>
      <c r="I432" s="2"/>
      <c r="J432" s="2"/>
      <c r="M432" s="2"/>
      <c r="N432" s="2"/>
      <c r="W432" s="2"/>
      <c r="X432" s="2"/>
      <c r="Y432" s="2"/>
      <c r="Z432" s="2"/>
      <c r="AA432" s="2"/>
      <c r="AB432" s="2"/>
      <c r="AC432" s="2"/>
      <c r="AD432" s="2"/>
      <c r="AE432" s="2"/>
    </row>
    <row r="433" spans="6:31" ht="12.5" x14ac:dyDescent="0.25">
      <c r="F433" s="2"/>
      <c r="I433" s="2"/>
      <c r="J433" s="2"/>
      <c r="M433" s="2"/>
      <c r="N433" s="2"/>
      <c r="W433" s="2"/>
      <c r="X433" s="2"/>
      <c r="Y433" s="2"/>
      <c r="Z433" s="2"/>
      <c r="AA433" s="2"/>
      <c r="AB433" s="2"/>
      <c r="AC433" s="2"/>
      <c r="AD433" s="2"/>
      <c r="AE433" s="2"/>
    </row>
    <row r="434" spans="6:31" ht="12.5" x14ac:dyDescent="0.25">
      <c r="F434" s="2"/>
      <c r="I434" s="2"/>
      <c r="J434" s="2"/>
      <c r="M434" s="2"/>
      <c r="N434" s="2"/>
      <c r="W434" s="2"/>
      <c r="X434" s="2"/>
      <c r="Y434" s="2"/>
      <c r="Z434" s="2"/>
      <c r="AA434" s="2"/>
      <c r="AB434" s="2"/>
      <c r="AC434" s="2"/>
      <c r="AD434" s="2"/>
      <c r="AE434" s="2"/>
    </row>
    <row r="435" spans="6:31" ht="12.5" x14ac:dyDescent="0.25">
      <c r="F435" s="2"/>
      <c r="I435" s="2"/>
      <c r="J435" s="2"/>
      <c r="M435" s="2"/>
      <c r="N435" s="2"/>
      <c r="W435" s="2"/>
      <c r="X435" s="2"/>
      <c r="Y435" s="2"/>
      <c r="Z435" s="2"/>
      <c r="AA435" s="2"/>
      <c r="AB435" s="2"/>
      <c r="AC435" s="2"/>
      <c r="AD435" s="2"/>
      <c r="AE435" s="2"/>
    </row>
    <row r="436" spans="6:31" ht="12.5" x14ac:dyDescent="0.25">
      <c r="F436" s="2"/>
      <c r="I436" s="2"/>
      <c r="J436" s="2"/>
      <c r="M436" s="2"/>
      <c r="N436" s="2"/>
      <c r="W436" s="2"/>
      <c r="X436" s="2"/>
      <c r="Y436" s="2"/>
      <c r="Z436" s="2"/>
      <c r="AA436" s="2"/>
      <c r="AB436" s="2"/>
      <c r="AC436" s="2"/>
      <c r="AD436" s="2"/>
      <c r="AE436" s="2"/>
    </row>
    <row r="437" spans="6:31" ht="12.5" x14ac:dyDescent="0.25">
      <c r="F437" s="2"/>
      <c r="I437" s="2"/>
      <c r="J437" s="2"/>
      <c r="M437" s="2"/>
      <c r="N437" s="2"/>
      <c r="W437" s="2"/>
      <c r="X437" s="2"/>
      <c r="Y437" s="2"/>
      <c r="Z437" s="2"/>
      <c r="AA437" s="2"/>
      <c r="AB437" s="2"/>
      <c r="AC437" s="2"/>
      <c r="AD437" s="2"/>
      <c r="AE437" s="2"/>
    </row>
    <row r="438" spans="6:31" ht="12.5" x14ac:dyDescent="0.25">
      <c r="F438" s="2"/>
      <c r="I438" s="2"/>
      <c r="J438" s="2"/>
      <c r="M438" s="2"/>
      <c r="N438" s="2"/>
      <c r="W438" s="2"/>
      <c r="X438" s="2"/>
      <c r="Y438" s="2"/>
      <c r="Z438" s="2"/>
      <c r="AA438" s="2"/>
      <c r="AB438" s="2"/>
      <c r="AC438" s="2"/>
      <c r="AD438" s="2"/>
      <c r="AE438" s="2"/>
    </row>
    <row r="439" spans="6:31" ht="12.5" x14ac:dyDescent="0.25">
      <c r="F439" s="2"/>
      <c r="I439" s="2"/>
      <c r="J439" s="2"/>
      <c r="M439" s="2"/>
      <c r="N439" s="2"/>
      <c r="W439" s="2"/>
      <c r="X439" s="2"/>
      <c r="Y439" s="2"/>
      <c r="Z439" s="2"/>
      <c r="AA439" s="2"/>
      <c r="AB439" s="2"/>
      <c r="AC439" s="2"/>
      <c r="AD439" s="2"/>
      <c r="AE439" s="2"/>
    </row>
    <row r="440" spans="6:31" ht="12.5" x14ac:dyDescent="0.25">
      <c r="F440" s="2"/>
      <c r="I440" s="2"/>
      <c r="J440" s="2"/>
      <c r="M440" s="2"/>
      <c r="N440" s="2"/>
      <c r="W440" s="2"/>
      <c r="X440" s="2"/>
      <c r="Y440" s="2"/>
      <c r="Z440" s="2"/>
      <c r="AA440" s="2"/>
      <c r="AB440" s="2"/>
      <c r="AC440" s="2"/>
      <c r="AD440" s="2"/>
      <c r="AE440" s="2"/>
    </row>
    <row r="441" spans="6:31" ht="12.5" x14ac:dyDescent="0.25">
      <c r="F441" s="2"/>
      <c r="I441" s="2"/>
      <c r="J441" s="2"/>
      <c r="M441" s="2"/>
      <c r="N441" s="2"/>
      <c r="W441" s="2"/>
      <c r="X441" s="2"/>
      <c r="Y441" s="2"/>
      <c r="Z441" s="2"/>
      <c r="AA441" s="2"/>
      <c r="AB441" s="2"/>
      <c r="AC441" s="2"/>
      <c r="AD441" s="2"/>
      <c r="AE441" s="2"/>
    </row>
    <row r="442" spans="6:31" ht="12.5" x14ac:dyDescent="0.25">
      <c r="F442" s="2"/>
      <c r="I442" s="2"/>
      <c r="J442" s="2"/>
      <c r="M442" s="2"/>
      <c r="N442" s="2"/>
      <c r="W442" s="2"/>
      <c r="X442" s="2"/>
      <c r="Y442" s="2"/>
      <c r="Z442" s="2"/>
      <c r="AA442" s="2"/>
      <c r="AB442" s="2"/>
      <c r="AC442" s="2"/>
      <c r="AD442" s="2"/>
      <c r="AE442" s="2"/>
    </row>
    <row r="443" spans="6:31" ht="12.5" x14ac:dyDescent="0.25">
      <c r="F443" s="2"/>
      <c r="I443" s="2"/>
      <c r="J443" s="2"/>
      <c r="M443" s="2"/>
      <c r="N443" s="2"/>
      <c r="W443" s="2"/>
      <c r="X443" s="2"/>
      <c r="Y443" s="2"/>
      <c r="Z443" s="2"/>
      <c r="AA443" s="2"/>
      <c r="AB443" s="2"/>
      <c r="AC443" s="2"/>
      <c r="AD443" s="2"/>
      <c r="AE443" s="2"/>
    </row>
    <row r="444" spans="6:31" ht="12.5" x14ac:dyDescent="0.25">
      <c r="F444" s="2"/>
      <c r="I444" s="2"/>
      <c r="J444" s="2"/>
      <c r="M444" s="2"/>
      <c r="N444" s="2"/>
      <c r="W444" s="2"/>
      <c r="X444" s="2"/>
      <c r="Y444" s="2"/>
      <c r="Z444" s="2"/>
      <c r="AA444" s="2"/>
      <c r="AB444" s="2"/>
      <c r="AC444" s="2"/>
      <c r="AD444" s="2"/>
      <c r="AE444" s="2"/>
    </row>
    <row r="445" spans="6:31" ht="12.5" x14ac:dyDescent="0.25">
      <c r="F445" s="2"/>
      <c r="I445" s="2"/>
      <c r="J445" s="2"/>
      <c r="M445" s="2"/>
      <c r="N445" s="2"/>
      <c r="W445" s="2"/>
      <c r="X445" s="2"/>
      <c r="Y445" s="2"/>
      <c r="Z445" s="2"/>
      <c r="AA445" s="2"/>
      <c r="AB445" s="2"/>
      <c r="AC445" s="2"/>
      <c r="AD445" s="2"/>
      <c r="AE445" s="2"/>
    </row>
    <row r="446" spans="6:31" ht="12.5" x14ac:dyDescent="0.25">
      <c r="F446" s="2"/>
      <c r="I446" s="2"/>
      <c r="J446" s="2"/>
      <c r="M446" s="2"/>
      <c r="N446" s="2"/>
      <c r="W446" s="2"/>
      <c r="X446" s="2"/>
      <c r="Y446" s="2"/>
      <c r="Z446" s="2"/>
      <c r="AA446" s="2"/>
      <c r="AB446" s="2"/>
      <c r="AC446" s="2"/>
      <c r="AD446" s="2"/>
      <c r="AE446" s="2"/>
    </row>
    <row r="447" spans="6:31" ht="12.5" x14ac:dyDescent="0.25">
      <c r="F447" s="2"/>
      <c r="I447" s="2"/>
      <c r="J447" s="2"/>
      <c r="M447" s="2"/>
      <c r="N447" s="2"/>
      <c r="W447" s="2"/>
      <c r="X447" s="2"/>
      <c r="Y447" s="2"/>
      <c r="Z447" s="2"/>
      <c r="AA447" s="2"/>
      <c r="AB447" s="2"/>
      <c r="AC447" s="2"/>
      <c r="AD447" s="2"/>
      <c r="AE447" s="2"/>
    </row>
    <row r="448" spans="6:31" ht="12.5" x14ac:dyDescent="0.25">
      <c r="F448" s="2"/>
      <c r="I448" s="2"/>
      <c r="J448" s="2"/>
      <c r="M448" s="2"/>
      <c r="N448" s="2"/>
      <c r="W448" s="2"/>
      <c r="X448" s="2"/>
      <c r="Y448" s="2"/>
      <c r="Z448" s="2"/>
      <c r="AA448" s="2"/>
      <c r="AB448" s="2"/>
      <c r="AC448" s="2"/>
      <c r="AD448" s="2"/>
      <c r="AE448" s="2"/>
    </row>
    <row r="449" spans="6:31" ht="12.5" x14ac:dyDescent="0.25">
      <c r="F449" s="2"/>
      <c r="I449" s="2"/>
      <c r="J449" s="2"/>
      <c r="M449" s="2"/>
      <c r="N449" s="2"/>
      <c r="W449" s="2"/>
      <c r="X449" s="2"/>
      <c r="Y449" s="2"/>
      <c r="Z449" s="2"/>
      <c r="AA449" s="2"/>
      <c r="AB449" s="2"/>
      <c r="AC449" s="2"/>
      <c r="AD449" s="2"/>
      <c r="AE449" s="2"/>
    </row>
    <row r="450" spans="6:31" ht="12.5" x14ac:dyDescent="0.25">
      <c r="F450" s="2"/>
      <c r="I450" s="2"/>
      <c r="J450" s="2"/>
      <c r="M450" s="2"/>
      <c r="N450" s="2"/>
      <c r="W450" s="2"/>
      <c r="X450" s="2"/>
      <c r="Y450" s="2"/>
      <c r="Z450" s="2"/>
      <c r="AA450" s="2"/>
      <c r="AB450" s="2"/>
      <c r="AC450" s="2"/>
      <c r="AD450" s="2"/>
      <c r="AE450" s="2"/>
    </row>
    <row r="451" spans="6:31" ht="12.5" x14ac:dyDescent="0.25">
      <c r="F451" s="2"/>
      <c r="I451" s="2"/>
      <c r="J451" s="2"/>
      <c r="M451" s="2"/>
      <c r="N451" s="2"/>
      <c r="W451" s="2"/>
      <c r="X451" s="2"/>
      <c r="Y451" s="2"/>
      <c r="Z451" s="2"/>
      <c r="AA451" s="2"/>
      <c r="AB451" s="2"/>
      <c r="AC451" s="2"/>
      <c r="AD451" s="2"/>
      <c r="AE451" s="2"/>
    </row>
    <row r="452" spans="6:31" ht="12.5" x14ac:dyDescent="0.25">
      <c r="F452" s="2"/>
      <c r="I452" s="2"/>
      <c r="J452" s="2"/>
      <c r="M452" s="2"/>
      <c r="N452" s="2"/>
      <c r="W452" s="2"/>
      <c r="X452" s="2"/>
      <c r="Y452" s="2"/>
      <c r="Z452" s="2"/>
      <c r="AA452" s="2"/>
      <c r="AB452" s="2"/>
      <c r="AC452" s="2"/>
      <c r="AD452" s="2"/>
      <c r="AE452" s="2"/>
    </row>
    <row r="453" spans="6:31" ht="12.5" x14ac:dyDescent="0.25">
      <c r="F453" s="2"/>
      <c r="I453" s="2"/>
      <c r="J453" s="2"/>
      <c r="M453" s="2"/>
      <c r="N453" s="2"/>
      <c r="W453" s="2"/>
      <c r="X453" s="2"/>
      <c r="Y453" s="2"/>
      <c r="Z453" s="2"/>
      <c r="AA453" s="2"/>
      <c r="AB453" s="2"/>
      <c r="AC453" s="2"/>
      <c r="AD453" s="2"/>
      <c r="AE453" s="2"/>
    </row>
    <row r="454" spans="6:31" ht="12.5" x14ac:dyDescent="0.25">
      <c r="F454" s="2"/>
      <c r="I454" s="2"/>
      <c r="J454" s="2"/>
      <c r="M454" s="2"/>
      <c r="N454" s="2"/>
      <c r="W454" s="2"/>
      <c r="X454" s="2"/>
      <c r="Y454" s="2"/>
      <c r="Z454" s="2"/>
      <c r="AA454" s="2"/>
      <c r="AB454" s="2"/>
      <c r="AC454" s="2"/>
      <c r="AD454" s="2"/>
      <c r="AE454" s="2"/>
    </row>
    <row r="455" spans="6:31" ht="12.5" x14ac:dyDescent="0.25">
      <c r="F455" s="2"/>
      <c r="I455" s="2"/>
      <c r="J455" s="2"/>
      <c r="M455" s="2"/>
      <c r="N455" s="2"/>
      <c r="W455" s="2"/>
      <c r="X455" s="2"/>
      <c r="Y455" s="2"/>
      <c r="Z455" s="2"/>
      <c r="AA455" s="2"/>
      <c r="AB455" s="2"/>
      <c r="AC455" s="2"/>
      <c r="AD455" s="2"/>
      <c r="AE455" s="2"/>
    </row>
    <row r="456" spans="6:31" ht="12.5" x14ac:dyDescent="0.25">
      <c r="F456" s="2"/>
      <c r="I456" s="2"/>
      <c r="J456" s="2"/>
      <c r="M456" s="2"/>
      <c r="N456" s="2"/>
      <c r="W456" s="2"/>
      <c r="X456" s="2"/>
      <c r="Y456" s="2"/>
      <c r="Z456" s="2"/>
      <c r="AA456" s="2"/>
      <c r="AB456" s="2"/>
      <c r="AC456" s="2"/>
      <c r="AD456" s="2"/>
      <c r="AE456" s="2"/>
    </row>
    <row r="457" spans="6:31" ht="12.5" x14ac:dyDescent="0.25">
      <c r="F457" s="2"/>
      <c r="I457" s="2"/>
      <c r="J457" s="2"/>
      <c r="M457" s="2"/>
      <c r="N457" s="2"/>
      <c r="W457" s="2"/>
      <c r="X457" s="2"/>
      <c r="Y457" s="2"/>
      <c r="Z457" s="2"/>
      <c r="AA457" s="2"/>
      <c r="AB457" s="2"/>
      <c r="AC457" s="2"/>
      <c r="AD457" s="2"/>
      <c r="AE457" s="2"/>
    </row>
    <row r="458" spans="6:31" ht="12.5" x14ac:dyDescent="0.25">
      <c r="F458" s="2"/>
      <c r="I458" s="2"/>
      <c r="J458" s="2"/>
      <c r="M458" s="2"/>
      <c r="N458" s="2"/>
      <c r="W458" s="2"/>
      <c r="X458" s="2"/>
      <c r="Y458" s="2"/>
      <c r="Z458" s="2"/>
      <c r="AA458" s="2"/>
      <c r="AB458" s="2"/>
      <c r="AC458" s="2"/>
      <c r="AD458" s="2"/>
      <c r="AE458" s="2"/>
    </row>
    <row r="459" spans="6:31" ht="12.5" x14ac:dyDescent="0.25">
      <c r="F459" s="2"/>
      <c r="I459" s="2"/>
      <c r="J459" s="2"/>
      <c r="M459" s="2"/>
      <c r="N459" s="2"/>
      <c r="W459" s="2"/>
      <c r="X459" s="2"/>
      <c r="Y459" s="2"/>
      <c r="Z459" s="2"/>
      <c r="AA459" s="2"/>
      <c r="AB459" s="2"/>
      <c r="AC459" s="2"/>
      <c r="AD459" s="2"/>
      <c r="AE459" s="2"/>
    </row>
    <row r="460" spans="6:31" ht="12.5" x14ac:dyDescent="0.25">
      <c r="F460" s="2"/>
      <c r="I460" s="2"/>
      <c r="J460" s="2"/>
      <c r="M460" s="2"/>
      <c r="N460" s="2"/>
      <c r="W460" s="2"/>
      <c r="X460" s="2"/>
      <c r="Y460" s="2"/>
      <c r="Z460" s="2"/>
      <c r="AA460" s="2"/>
      <c r="AB460" s="2"/>
      <c r="AC460" s="2"/>
      <c r="AD460" s="2"/>
      <c r="AE460" s="2"/>
    </row>
    <row r="461" spans="6:31" ht="12.5" x14ac:dyDescent="0.25">
      <c r="F461" s="2"/>
      <c r="I461" s="2"/>
      <c r="J461" s="2"/>
      <c r="M461" s="2"/>
      <c r="N461" s="2"/>
      <c r="W461" s="2"/>
      <c r="X461" s="2"/>
      <c r="Y461" s="2"/>
      <c r="Z461" s="2"/>
      <c r="AA461" s="2"/>
      <c r="AB461" s="2"/>
      <c r="AC461" s="2"/>
      <c r="AD461" s="2"/>
      <c r="AE461" s="2"/>
    </row>
    <row r="462" spans="6:31" ht="12.5" x14ac:dyDescent="0.25">
      <c r="F462" s="2"/>
      <c r="I462" s="2"/>
      <c r="J462" s="2"/>
      <c r="M462" s="2"/>
      <c r="N462" s="2"/>
      <c r="W462" s="2"/>
      <c r="X462" s="2"/>
      <c r="Y462" s="2"/>
      <c r="Z462" s="2"/>
      <c r="AA462" s="2"/>
      <c r="AB462" s="2"/>
      <c r="AC462" s="2"/>
      <c r="AD462" s="2"/>
      <c r="AE462" s="2"/>
    </row>
    <row r="463" spans="6:31" ht="12.5" x14ac:dyDescent="0.25">
      <c r="F463" s="2"/>
      <c r="I463" s="2"/>
      <c r="J463" s="2"/>
      <c r="M463" s="2"/>
      <c r="N463" s="2"/>
      <c r="W463" s="2"/>
      <c r="X463" s="2"/>
      <c r="Y463" s="2"/>
      <c r="Z463" s="2"/>
      <c r="AA463" s="2"/>
      <c r="AB463" s="2"/>
      <c r="AC463" s="2"/>
      <c r="AD463" s="2"/>
      <c r="AE463" s="2"/>
    </row>
    <row r="464" spans="6:31" ht="12.5" x14ac:dyDescent="0.25">
      <c r="F464" s="2"/>
      <c r="I464" s="2"/>
      <c r="J464" s="2"/>
      <c r="M464" s="2"/>
      <c r="N464" s="2"/>
      <c r="W464" s="2"/>
      <c r="X464" s="2"/>
      <c r="Y464" s="2"/>
      <c r="Z464" s="2"/>
      <c r="AA464" s="2"/>
      <c r="AB464" s="2"/>
      <c r="AC464" s="2"/>
      <c r="AD464" s="2"/>
      <c r="AE464" s="2"/>
    </row>
    <row r="465" spans="6:31" ht="12.5" x14ac:dyDescent="0.25">
      <c r="F465" s="2"/>
      <c r="I465" s="2"/>
      <c r="J465" s="2"/>
      <c r="M465" s="2"/>
      <c r="N465" s="2"/>
      <c r="W465" s="2"/>
      <c r="X465" s="2"/>
      <c r="Y465" s="2"/>
      <c r="Z465" s="2"/>
      <c r="AA465" s="2"/>
      <c r="AB465" s="2"/>
      <c r="AC465" s="2"/>
      <c r="AD465" s="2"/>
      <c r="AE465" s="2"/>
    </row>
    <row r="466" spans="6:31" ht="12.5" x14ac:dyDescent="0.25">
      <c r="F466" s="2"/>
      <c r="I466" s="2"/>
      <c r="J466" s="2"/>
      <c r="M466" s="2"/>
      <c r="N466" s="2"/>
      <c r="W466" s="2"/>
      <c r="X466" s="2"/>
      <c r="Y466" s="2"/>
      <c r="Z466" s="2"/>
      <c r="AA466" s="2"/>
      <c r="AB466" s="2"/>
      <c r="AC466" s="2"/>
      <c r="AD466" s="2"/>
      <c r="AE466" s="2"/>
    </row>
    <row r="467" spans="6:31" ht="12.5" x14ac:dyDescent="0.25">
      <c r="F467" s="2"/>
      <c r="I467" s="2"/>
      <c r="J467" s="2"/>
      <c r="M467" s="2"/>
      <c r="N467" s="2"/>
      <c r="W467" s="2"/>
      <c r="X467" s="2"/>
      <c r="Y467" s="2"/>
      <c r="Z467" s="2"/>
      <c r="AA467" s="2"/>
      <c r="AB467" s="2"/>
      <c r="AC467" s="2"/>
      <c r="AD467" s="2"/>
      <c r="AE467" s="2"/>
    </row>
    <row r="468" spans="6:31" ht="12.5" x14ac:dyDescent="0.25">
      <c r="F468" s="2"/>
      <c r="I468" s="2"/>
      <c r="J468" s="2"/>
      <c r="M468" s="2"/>
      <c r="N468" s="2"/>
      <c r="W468" s="2"/>
      <c r="X468" s="2"/>
      <c r="Y468" s="2"/>
      <c r="Z468" s="2"/>
      <c r="AA468" s="2"/>
      <c r="AB468" s="2"/>
      <c r="AC468" s="2"/>
      <c r="AD468" s="2"/>
      <c r="AE468" s="2"/>
    </row>
    <row r="469" spans="6:31" ht="12.5" x14ac:dyDescent="0.25">
      <c r="F469" s="2"/>
      <c r="I469" s="2"/>
      <c r="J469" s="2"/>
      <c r="M469" s="2"/>
      <c r="N469" s="2"/>
      <c r="W469" s="2"/>
      <c r="X469" s="2"/>
      <c r="Y469" s="2"/>
      <c r="Z469" s="2"/>
      <c r="AA469" s="2"/>
      <c r="AB469" s="2"/>
      <c r="AC469" s="2"/>
      <c r="AD469" s="2"/>
      <c r="AE469" s="2"/>
    </row>
    <row r="470" spans="6:31" ht="12.5" x14ac:dyDescent="0.25">
      <c r="F470" s="2"/>
      <c r="I470" s="2"/>
      <c r="J470" s="2"/>
      <c r="M470" s="2"/>
      <c r="N470" s="2"/>
      <c r="W470" s="2"/>
      <c r="X470" s="2"/>
      <c r="Y470" s="2"/>
      <c r="Z470" s="2"/>
      <c r="AA470" s="2"/>
      <c r="AB470" s="2"/>
      <c r="AC470" s="2"/>
      <c r="AD470" s="2"/>
      <c r="AE470" s="2"/>
    </row>
    <row r="471" spans="6:31" ht="12.5" x14ac:dyDescent="0.25">
      <c r="F471" s="2"/>
      <c r="I471" s="2"/>
      <c r="J471" s="2"/>
      <c r="M471" s="2"/>
      <c r="N471" s="2"/>
      <c r="W471" s="2"/>
      <c r="X471" s="2"/>
      <c r="Y471" s="2"/>
      <c r="Z471" s="2"/>
      <c r="AA471" s="2"/>
      <c r="AB471" s="2"/>
      <c r="AC471" s="2"/>
      <c r="AD471" s="2"/>
      <c r="AE471" s="2"/>
    </row>
    <row r="472" spans="6:31" ht="12.5" x14ac:dyDescent="0.25">
      <c r="F472" s="2"/>
      <c r="I472" s="2"/>
      <c r="J472" s="2"/>
      <c r="M472" s="2"/>
      <c r="N472" s="2"/>
      <c r="W472" s="2"/>
      <c r="X472" s="2"/>
      <c r="Y472" s="2"/>
      <c r="Z472" s="2"/>
      <c r="AA472" s="2"/>
      <c r="AB472" s="2"/>
      <c r="AC472" s="2"/>
      <c r="AD472" s="2"/>
      <c r="AE472" s="2"/>
    </row>
    <row r="473" spans="6:31" ht="12.5" x14ac:dyDescent="0.25">
      <c r="F473" s="2"/>
      <c r="I473" s="2"/>
      <c r="J473" s="2"/>
      <c r="M473" s="2"/>
      <c r="N473" s="2"/>
      <c r="W473" s="2"/>
      <c r="X473" s="2"/>
      <c r="Y473" s="2"/>
      <c r="Z473" s="2"/>
      <c r="AA473" s="2"/>
      <c r="AB473" s="2"/>
      <c r="AC473" s="2"/>
      <c r="AD473" s="2"/>
      <c r="AE473" s="2"/>
    </row>
    <row r="474" spans="6:31" ht="12.5" x14ac:dyDescent="0.25">
      <c r="F474" s="2"/>
      <c r="I474" s="2"/>
      <c r="J474" s="2"/>
      <c r="M474" s="2"/>
      <c r="N474" s="2"/>
      <c r="W474" s="2"/>
      <c r="X474" s="2"/>
      <c r="Y474" s="2"/>
      <c r="Z474" s="2"/>
      <c r="AA474" s="2"/>
      <c r="AB474" s="2"/>
      <c r="AC474" s="2"/>
      <c r="AD474" s="2"/>
      <c r="AE474" s="2"/>
    </row>
    <row r="475" spans="6:31" ht="12.5" x14ac:dyDescent="0.25">
      <c r="F475" s="2"/>
      <c r="I475" s="2"/>
      <c r="J475" s="2"/>
      <c r="M475" s="2"/>
      <c r="N475" s="2"/>
      <c r="W475" s="2"/>
      <c r="X475" s="2"/>
      <c r="Y475" s="2"/>
      <c r="Z475" s="2"/>
      <c r="AA475" s="2"/>
      <c r="AB475" s="2"/>
      <c r="AC475" s="2"/>
      <c r="AD475" s="2"/>
      <c r="AE475" s="2"/>
    </row>
    <row r="476" spans="6:31" ht="12.5" x14ac:dyDescent="0.25">
      <c r="F476" s="2"/>
      <c r="I476" s="2"/>
      <c r="J476" s="2"/>
      <c r="M476" s="2"/>
      <c r="N476" s="2"/>
      <c r="W476" s="2"/>
      <c r="X476" s="2"/>
      <c r="Y476" s="2"/>
      <c r="Z476" s="2"/>
      <c r="AA476" s="2"/>
      <c r="AB476" s="2"/>
      <c r="AC476" s="2"/>
      <c r="AD476" s="2"/>
      <c r="AE476" s="2"/>
    </row>
    <row r="477" spans="6:31" ht="12.5" x14ac:dyDescent="0.25">
      <c r="F477" s="2"/>
      <c r="I477" s="2"/>
      <c r="J477" s="2"/>
      <c r="M477" s="2"/>
      <c r="N477" s="2"/>
      <c r="W477" s="2"/>
      <c r="X477" s="2"/>
      <c r="Y477" s="2"/>
      <c r="Z477" s="2"/>
      <c r="AA477" s="2"/>
      <c r="AB477" s="2"/>
      <c r="AC477" s="2"/>
      <c r="AD477" s="2"/>
      <c r="AE477" s="2"/>
    </row>
    <row r="478" spans="6:31" ht="12.5" x14ac:dyDescent="0.25">
      <c r="F478" s="2"/>
      <c r="I478" s="2"/>
      <c r="J478" s="2"/>
      <c r="M478" s="2"/>
      <c r="N478" s="2"/>
      <c r="W478" s="2"/>
      <c r="X478" s="2"/>
      <c r="Y478" s="2"/>
      <c r="Z478" s="2"/>
      <c r="AA478" s="2"/>
      <c r="AB478" s="2"/>
      <c r="AC478" s="2"/>
      <c r="AD478" s="2"/>
      <c r="AE478" s="2"/>
    </row>
    <row r="479" spans="6:31" ht="12.5" x14ac:dyDescent="0.25">
      <c r="F479" s="2"/>
      <c r="I479" s="2"/>
      <c r="J479" s="2"/>
      <c r="M479" s="2"/>
      <c r="N479" s="2"/>
      <c r="W479" s="2"/>
      <c r="X479" s="2"/>
      <c r="Y479" s="2"/>
      <c r="Z479" s="2"/>
      <c r="AA479" s="2"/>
      <c r="AB479" s="2"/>
      <c r="AC479" s="2"/>
      <c r="AD479" s="2"/>
      <c r="AE479" s="2"/>
    </row>
    <row r="480" spans="6:31" ht="12.5" x14ac:dyDescent="0.25">
      <c r="F480" s="2"/>
      <c r="I480" s="2"/>
      <c r="J480" s="2"/>
      <c r="M480" s="2"/>
      <c r="N480" s="2"/>
      <c r="W480" s="2"/>
      <c r="X480" s="2"/>
      <c r="Y480" s="2"/>
      <c r="Z480" s="2"/>
      <c r="AA480" s="2"/>
      <c r="AB480" s="2"/>
      <c r="AC480" s="2"/>
      <c r="AD480" s="2"/>
      <c r="AE480" s="2"/>
    </row>
    <row r="481" spans="6:31" ht="12.5" x14ac:dyDescent="0.25">
      <c r="F481" s="2"/>
      <c r="I481" s="2"/>
      <c r="J481" s="2"/>
      <c r="M481" s="2"/>
      <c r="N481" s="2"/>
      <c r="W481" s="2"/>
      <c r="X481" s="2"/>
      <c r="Y481" s="2"/>
      <c r="Z481" s="2"/>
      <c r="AA481" s="2"/>
      <c r="AB481" s="2"/>
      <c r="AC481" s="2"/>
      <c r="AD481" s="2"/>
      <c r="AE481" s="2"/>
    </row>
    <row r="482" spans="6:31" ht="12.5" x14ac:dyDescent="0.25">
      <c r="F482" s="2"/>
      <c r="I482" s="2"/>
      <c r="J482" s="2"/>
      <c r="M482" s="2"/>
      <c r="N482" s="2"/>
      <c r="W482" s="2"/>
      <c r="X482" s="2"/>
      <c r="Y482" s="2"/>
      <c r="Z482" s="2"/>
      <c r="AA482" s="2"/>
      <c r="AB482" s="2"/>
      <c r="AC482" s="2"/>
      <c r="AD482" s="2"/>
      <c r="AE482" s="2"/>
    </row>
    <row r="483" spans="6:31" ht="12.5" x14ac:dyDescent="0.25">
      <c r="F483" s="2"/>
      <c r="I483" s="2"/>
      <c r="J483" s="2"/>
      <c r="M483" s="2"/>
      <c r="N483" s="2"/>
      <c r="W483" s="2"/>
      <c r="X483" s="2"/>
      <c r="Y483" s="2"/>
      <c r="Z483" s="2"/>
      <c r="AA483" s="2"/>
      <c r="AB483" s="2"/>
      <c r="AC483" s="2"/>
      <c r="AD483" s="2"/>
      <c r="AE483" s="2"/>
    </row>
    <row r="484" spans="6:31" ht="12.5" x14ac:dyDescent="0.25">
      <c r="F484" s="2"/>
      <c r="I484" s="2"/>
      <c r="J484" s="2"/>
      <c r="M484" s="2"/>
      <c r="N484" s="2"/>
      <c r="W484" s="2"/>
      <c r="X484" s="2"/>
      <c r="Y484" s="2"/>
      <c r="Z484" s="2"/>
      <c r="AA484" s="2"/>
      <c r="AB484" s="2"/>
      <c r="AC484" s="2"/>
      <c r="AD484" s="2"/>
      <c r="AE484" s="2"/>
    </row>
    <row r="485" spans="6:31" ht="12.5" x14ac:dyDescent="0.25">
      <c r="F485" s="2"/>
      <c r="I485" s="2"/>
      <c r="J485" s="2"/>
      <c r="M485" s="2"/>
      <c r="N485" s="2"/>
      <c r="W485" s="2"/>
      <c r="X485" s="2"/>
      <c r="Y485" s="2"/>
      <c r="Z485" s="2"/>
      <c r="AA485" s="2"/>
      <c r="AB485" s="2"/>
      <c r="AC485" s="2"/>
      <c r="AD485" s="2"/>
      <c r="AE485" s="2"/>
    </row>
    <row r="486" spans="6:31" ht="12.5" x14ac:dyDescent="0.25">
      <c r="F486" s="2"/>
      <c r="I486" s="2"/>
      <c r="J486" s="2"/>
      <c r="M486" s="2"/>
      <c r="N486" s="2"/>
      <c r="W486" s="2"/>
      <c r="X486" s="2"/>
      <c r="Y486" s="2"/>
      <c r="Z486" s="2"/>
      <c r="AA486" s="2"/>
      <c r="AB486" s="2"/>
      <c r="AC486" s="2"/>
      <c r="AD486" s="2"/>
      <c r="AE486" s="2"/>
    </row>
    <row r="487" spans="6:31" ht="12.5" x14ac:dyDescent="0.25">
      <c r="F487" s="2"/>
      <c r="I487" s="2"/>
      <c r="J487" s="2"/>
      <c r="M487" s="2"/>
      <c r="N487" s="2"/>
      <c r="W487" s="2"/>
      <c r="X487" s="2"/>
      <c r="Y487" s="2"/>
      <c r="Z487" s="2"/>
      <c r="AA487" s="2"/>
      <c r="AB487" s="2"/>
      <c r="AC487" s="2"/>
      <c r="AD487" s="2"/>
      <c r="AE487" s="2"/>
    </row>
    <row r="488" spans="6:31" ht="12.5" x14ac:dyDescent="0.25">
      <c r="F488" s="2"/>
      <c r="I488" s="2"/>
      <c r="J488" s="2"/>
      <c r="M488" s="2"/>
      <c r="N488" s="2"/>
      <c r="W488" s="2"/>
      <c r="X488" s="2"/>
      <c r="Y488" s="2"/>
      <c r="Z488" s="2"/>
      <c r="AA488" s="2"/>
      <c r="AB488" s="2"/>
      <c r="AC488" s="2"/>
      <c r="AD488" s="2"/>
      <c r="AE488" s="2"/>
    </row>
    <row r="489" spans="6:31" ht="12.5" x14ac:dyDescent="0.25">
      <c r="F489" s="2"/>
      <c r="I489" s="2"/>
      <c r="J489" s="2"/>
      <c r="M489" s="2"/>
      <c r="N489" s="2"/>
      <c r="W489" s="2"/>
      <c r="X489" s="2"/>
      <c r="Y489" s="2"/>
      <c r="Z489" s="2"/>
      <c r="AA489" s="2"/>
      <c r="AB489" s="2"/>
      <c r="AC489" s="2"/>
      <c r="AD489" s="2"/>
      <c r="AE489" s="2"/>
    </row>
    <row r="490" spans="6:31" ht="12.5" x14ac:dyDescent="0.25">
      <c r="F490" s="2"/>
      <c r="I490" s="2"/>
      <c r="J490" s="2"/>
      <c r="M490" s="2"/>
      <c r="N490" s="2"/>
      <c r="W490" s="2"/>
      <c r="X490" s="2"/>
      <c r="Y490" s="2"/>
      <c r="Z490" s="2"/>
      <c r="AA490" s="2"/>
      <c r="AB490" s="2"/>
      <c r="AC490" s="2"/>
      <c r="AD490" s="2"/>
      <c r="AE490" s="2"/>
    </row>
    <row r="491" spans="6:31" ht="12.5" x14ac:dyDescent="0.25">
      <c r="F491" s="2"/>
      <c r="I491" s="2"/>
      <c r="J491" s="2"/>
      <c r="M491" s="2"/>
      <c r="N491" s="2"/>
      <c r="W491" s="2"/>
      <c r="X491" s="2"/>
      <c r="Y491" s="2"/>
      <c r="Z491" s="2"/>
      <c r="AA491" s="2"/>
      <c r="AB491" s="2"/>
      <c r="AC491" s="2"/>
      <c r="AD491" s="2"/>
      <c r="AE491" s="2"/>
    </row>
    <row r="492" spans="6:31" ht="12.5" x14ac:dyDescent="0.25">
      <c r="F492" s="2"/>
      <c r="I492" s="2"/>
      <c r="J492" s="2"/>
      <c r="M492" s="2"/>
      <c r="N492" s="2"/>
      <c r="W492" s="2"/>
      <c r="X492" s="2"/>
      <c r="Y492" s="2"/>
      <c r="Z492" s="2"/>
      <c r="AA492" s="2"/>
      <c r="AB492" s="2"/>
      <c r="AC492" s="2"/>
      <c r="AD492" s="2"/>
      <c r="AE492" s="2"/>
    </row>
    <row r="493" spans="6:31" ht="12.5" x14ac:dyDescent="0.25">
      <c r="F493" s="2"/>
      <c r="I493" s="2"/>
      <c r="J493" s="2"/>
      <c r="M493" s="2"/>
      <c r="N493" s="2"/>
      <c r="W493" s="2"/>
      <c r="X493" s="2"/>
      <c r="Y493" s="2"/>
      <c r="Z493" s="2"/>
      <c r="AA493" s="2"/>
      <c r="AB493" s="2"/>
      <c r="AC493" s="2"/>
      <c r="AD493" s="2"/>
      <c r="AE493" s="2"/>
    </row>
    <row r="494" spans="6:31" ht="12.5" x14ac:dyDescent="0.25">
      <c r="F494" s="2"/>
      <c r="I494" s="2"/>
      <c r="J494" s="2"/>
      <c r="M494" s="2"/>
      <c r="N494" s="2"/>
      <c r="W494" s="2"/>
      <c r="X494" s="2"/>
      <c r="Y494" s="2"/>
      <c r="Z494" s="2"/>
      <c r="AA494" s="2"/>
      <c r="AB494" s="2"/>
      <c r="AC494" s="2"/>
      <c r="AD494" s="2"/>
      <c r="AE494" s="2"/>
    </row>
    <row r="495" spans="6:31" ht="12.5" x14ac:dyDescent="0.25">
      <c r="F495" s="2"/>
      <c r="I495" s="2"/>
      <c r="J495" s="2"/>
      <c r="M495" s="2"/>
      <c r="N495" s="2"/>
      <c r="W495" s="2"/>
      <c r="X495" s="2"/>
      <c r="Y495" s="2"/>
      <c r="Z495" s="2"/>
      <c r="AA495" s="2"/>
      <c r="AB495" s="2"/>
      <c r="AC495" s="2"/>
      <c r="AD495" s="2"/>
      <c r="AE495" s="2"/>
    </row>
    <row r="496" spans="6:31" ht="12.5" x14ac:dyDescent="0.25">
      <c r="F496" s="2"/>
      <c r="I496" s="2"/>
      <c r="J496" s="2"/>
      <c r="M496" s="2"/>
      <c r="N496" s="2"/>
      <c r="W496" s="2"/>
      <c r="X496" s="2"/>
      <c r="Y496" s="2"/>
      <c r="Z496" s="2"/>
      <c r="AA496" s="2"/>
      <c r="AB496" s="2"/>
      <c r="AC496" s="2"/>
      <c r="AD496" s="2"/>
      <c r="AE496" s="2"/>
    </row>
    <row r="497" spans="6:31" ht="12.5" x14ac:dyDescent="0.25">
      <c r="F497" s="2"/>
      <c r="I497" s="2"/>
      <c r="J497" s="2"/>
      <c r="M497" s="2"/>
      <c r="N497" s="2"/>
      <c r="W497" s="2"/>
      <c r="X497" s="2"/>
      <c r="Y497" s="2"/>
      <c r="Z497" s="2"/>
      <c r="AA497" s="2"/>
      <c r="AB497" s="2"/>
      <c r="AC497" s="2"/>
      <c r="AD497" s="2"/>
      <c r="AE497" s="2"/>
    </row>
    <row r="498" spans="6:31" ht="12.5" x14ac:dyDescent="0.25">
      <c r="F498" s="2"/>
      <c r="I498" s="2"/>
      <c r="J498" s="2"/>
      <c r="M498" s="2"/>
      <c r="N498" s="2"/>
      <c r="W498" s="2"/>
      <c r="X498" s="2"/>
      <c r="Y498" s="2"/>
      <c r="Z498" s="2"/>
      <c r="AA498" s="2"/>
      <c r="AB498" s="2"/>
      <c r="AC498" s="2"/>
      <c r="AD498" s="2"/>
      <c r="AE498" s="2"/>
    </row>
    <row r="499" spans="6:31" ht="12.5" x14ac:dyDescent="0.25">
      <c r="F499" s="2"/>
      <c r="I499" s="2"/>
      <c r="J499" s="2"/>
      <c r="M499" s="2"/>
      <c r="N499" s="2"/>
      <c r="W499" s="2"/>
      <c r="X499" s="2"/>
      <c r="Y499" s="2"/>
      <c r="Z499" s="2"/>
      <c r="AA499" s="2"/>
      <c r="AB499" s="2"/>
      <c r="AC499" s="2"/>
      <c r="AD499" s="2"/>
      <c r="AE499" s="2"/>
    </row>
    <row r="500" spans="6:31" ht="12.5" x14ac:dyDescent="0.25">
      <c r="F500" s="2"/>
      <c r="I500" s="2"/>
      <c r="J500" s="2"/>
      <c r="M500" s="2"/>
      <c r="N500" s="2"/>
      <c r="W500" s="2"/>
      <c r="X500" s="2"/>
      <c r="Y500" s="2"/>
      <c r="Z500" s="2"/>
      <c r="AA500" s="2"/>
      <c r="AB500" s="2"/>
      <c r="AC500" s="2"/>
      <c r="AD500" s="2"/>
      <c r="AE500" s="2"/>
    </row>
    <row r="501" spans="6:31" ht="12.5" x14ac:dyDescent="0.25">
      <c r="F501" s="2"/>
      <c r="I501" s="2"/>
      <c r="J501" s="2"/>
      <c r="M501" s="2"/>
      <c r="N501" s="2"/>
      <c r="W501" s="2"/>
      <c r="X501" s="2"/>
      <c r="Y501" s="2"/>
      <c r="Z501" s="2"/>
      <c r="AA501" s="2"/>
      <c r="AB501" s="2"/>
      <c r="AC501" s="2"/>
      <c r="AD501" s="2"/>
      <c r="AE501" s="2"/>
    </row>
    <row r="502" spans="6:31" ht="12.5" x14ac:dyDescent="0.25">
      <c r="F502" s="2"/>
      <c r="I502" s="2"/>
      <c r="J502" s="2"/>
      <c r="M502" s="2"/>
      <c r="N502" s="2"/>
      <c r="W502" s="2"/>
      <c r="X502" s="2"/>
      <c r="Y502" s="2"/>
      <c r="Z502" s="2"/>
      <c r="AA502" s="2"/>
      <c r="AB502" s="2"/>
      <c r="AC502" s="2"/>
      <c r="AD502" s="2"/>
      <c r="AE502" s="2"/>
    </row>
    <row r="503" spans="6:31" ht="12.5" x14ac:dyDescent="0.25">
      <c r="F503" s="2"/>
      <c r="I503" s="2"/>
      <c r="J503" s="2"/>
      <c r="M503" s="2"/>
      <c r="N503" s="2"/>
      <c r="W503" s="2"/>
      <c r="X503" s="2"/>
      <c r="Y503" s="2"/>
      <c r="Z503" s="2"/>
      <c r="AA503" s="2"/>
      <c r="AB503" s="2"/>
      <c r="AC503" s="2"/>
      <c r="AD503" s="2"/>
      <c r="AE503" s="2"/>
    </row>
    <row r="504" spans="6:31" ht="12.5" x14ac:dyDescent="0.25">
      <c r="F504" s="2"/>
      <c r="I504" s="2"/>
      <c r="J504" s="2"/>
      <c r="M504" s="2"/>
      <c r="N504" s="2"/>
      <c r="W504" s="2"/>
      <c r="X504" s="2"/>
      <c r="Y504" s="2"/>
      <c r="Z504" s="2"/>
      <c r="AA504" s="2"/>
      <c r="AB504" s="2"/>
      <c r="AC504" s="2"/>
      <c r="AD504" s="2"/>
      <c r="AE504" s="2"/>
    </row>
    <row r="505" spans="6:31" ht="12.5" x14ac:dyDescent="0.25">
      <c r="F505" s="2"/>
      <c r="I505" s="2"/>
      <c r="J505" s="2"/>
      <c r="M505" s="2"/>
      <c r="N505" s="2"/>
      <c r="W505" s="2"/>
      <c r="X505" s="2"/>
      <c r="Y505" s="2"/>
      <c r="Z505" s="2"/>
      <c r="AA505" s="2"/>
      <c r="AB505" s="2"/>
      <c r="AC505" s="2"/>
      <c r="AD505" s="2"/>
      <c r="AE505" s="2"/>
    </row>
    <row r="506" spans="6:31" ht="12.5" x14ac:dyDescent="0.25">
      <c r="F506" s="2"/>
      <c r="I506" s="2"/>
      <c r="J506" s="2"/>
      <c r="M506" s="2"/>
      <c r="N506" s="2"/>
      <c r="W506" s="2"/>
      <c r="X506" s="2"/>
      <c r="Y506" s="2"/>
      <c r="Z506" s="2"/>
      <c r="AA506" s="2"/>
      <c r="AB506" s="2"/>
      <c r="AC506" s="2"/>
      <c r="AD506" s="2"/>
      <c r="AE506" s="2"/>
    </row>
    <row r="507" spans="6:31" ht="12.5" x14ac:dyDescent="0.25">
      <c r="F507" s="2"/>
      <c r="I507" s="2"/>
      <c r="J507" s="2"/>
      <c r="M507" s="2"/>
      <c r="N507" s="2"/>
      <c r="W507" s="2"/>
      <c r="X507" s="2"/>
      <c r="Y507" s="2"/>
      <c r="Z507" s="2"/>
      <c r="AA507" s="2"/>
      <c r="AB507" s="2"/>
      <c r="AC507" s="2"/>
      <c r="AD507" s="2"/>
      <c r="AE507" s="2"/>
    </row>
    <row r="508" spans="6:31" ht="12.5" x14ac:dyDescent="0.25">
      <c r="F508" s="2"/>
      <c r="I508" s="2"/>
      <c r="J508" s="2"/>
      <c r="M508" s="2"/>
      <c r="N508" s="2"/>
      <c r="W508" s="2"/>
      <c r="X508" s="2"/>
      <c r="Y508" s="2"/>
      <c r="Z508" s="2"/>
      <c r="AA508" s="2"/>
      <c r="AB508" s="2"/>
      <c r="AC508" s="2"/>
      <c r="AD508" s="2"/>
      <c r="AE508" s="2"/>
    </row>
    <row r="509" spans="6:31" ht="12.5" x14ac:dyDescent="0.25">
      <c r="F509" s="2"/>
      <c r="I509" s="2"/>
      <c r="J509" s="2"/>
      <c r="M509" s="2"/>
      <c r="N509" s="2"/>
      <c r="W509" s="2"/>
      <c r="X509" s="2"/>
      <c r="Y509" s="2"/>
      <c r="Z509" s="2"/>
      <c r="AA509" s="2"/>
      <c r="AB509" s="2"/>
      <c r="AC509" s="2"/>
      <c r="AD509" s="2"/>
      <c r="AE509" s="2"/>
    </row>
    <row r="510" spans="6:31" ht="12.5" x14ac:dyDescent="0.25">
      <c r="F510" s="2"/>
      <c r="I510" s="2"/>
      <c r="J510" s="2"/>
      <c r="M510" s="2"/>
      <c r="N510" s="2"/>
      <c r="W510" s="2"/>
      <c r="X510" s="2"/>
      <c r="Y510" s="2"/>
      <c r="Z510" s="2"/>
      <c r="AA510" s="2"/>
      <c r="AB510" s="2"/>
      <c r="AC510" s="2"/>
      <c r="AD510" s="2"/>
      <c r="AE510" s="2"/>
    </row>
    <row r="511" spans="6:31" ht="12.5" x14ac:dyDescent="0.25">
      <c r="F511" s="2"/>
      <c r="I511" s="2"/>
      <c r="J511" s="2"/>
      <c r="M511" s="2"/>
      <c r="N511" s="2"/>
      <c r="W511" s="2"/>
      <c r="X511" s="2"/>
      <c r="Y511" s="2"/>
      <c r="Z511" s="2"/>
      <c r="AA511" s="2"/>
      <c r="AB511" s="2"/>
      <c r="AC511" s="2"/>
      <c r="AD511" s="2"/>
      <c r="AE511" s="2"/>
    </row>
    <row r="512" spans="6:31" ht="12.5" x14ac:dyDescent="0.25">
      <c r="F512" s="2"/>
      <c r="I512" s="2"/>
      <c r="J512" s="2"/>
      <c r="M512" s="2"/>
      <c r="N512" s="2"/>
      <c r="W512" s="2"/>
      <c r="X512" s="2"/>
      <c r="Y512" s="2"/>
      <c r="Z512" s="2"/>
      <c r="AA512" s="2"/>
      <c r="AB512" s="2"/>
      <c r="AC512" s="2"/>
      <c r="AD512" s="2"/>
      <c r="AE512" s="2"/>
    </row>
    <row r="513" spans="6:31" ht="12.5" x14ac:dyDescent="0.25">
      <c r="F513" s="2"/>
      <c r="I513" s="2"/>
      <c r="J513" s="2"/>
      <c r="M513" s="2"/>
      <c r="N513" s="2"/>
      <c r="W513" s="2"/>
      <c r="X513" s="2"/>
      <c r="Y513" s="2"/>
      <c r="Z513" s="2"/>
      <c r="AA513" s="2"/>
      <c r="AB513" s="2"/>
      <c r="AC513" s="2"/>
      <c r="AD513" s="2"/>
      <c r="AE513" s="2"/>
    </row>
    <row r="514" spans="6:31" ht="12.5" x14ac:dyDescent="0.25">
      <c r="F514" s="2"/>
      <c r="I514" s="2"/>
      <c r="J514" s="2"/>
      <c r="M514" s="2"/>
      <c r="N514" s="2"/>
      <c r="W514" s="2"/>
      <c r="X514" s="2"/>
      <c r="Y514" s="2"/>
      <c r="Z514" s="2"/>
      <c r="AA514" s="2"/>
      <c r="AB514" s="2"/>
      <c r="AC514" s="2"/>
      <c r="AD514" s="2"/>
      <c r="AE514" s="2"/>
    </row>
    <row r="515" spans="6:31" ht="12.5" x14ac:dyDescent="0.25">
      <c r="F515" s="2"/>
      <c r="I515" s="2"/>
      <c r="J515" s="2"/>
      <c r="M515" s="2"/>
      <c r="N515" s="2"/>
      <c r="W515" s="2"/>
      <c r="X515" s="2"/>
      <c r="Y515" s="2"/>
      <c r="Z515" s="2"/>
      <c r="AA515" s="2"/>
      <c r="AB515" s="2"/>
      <c r="AC515" s="2"/>
      <c r="AD515" s="2"/>
      <c r="AE515" s="2"/>
    </row>
    <row r="516" spans="6:31" ht="12.5" x14ac:dyDescent="0.25">
      <c r="F516" s="2"/>
      <c r="I516" s="2"/>
      <c r="J516" s="2"/>
      <c r="M516" s="2"/>
      <c r="N516" s="2"/>
      <c r="W516" s="2"/>
      <c r="X516" s="2"/>
      <c r="Y516" s="2"/>
      <c r="Z516" s="2"/>
      <c r="AA516" s="2"/>
      <c r="AB516" s="2"/>
      <c r="AC516" s="2"/>
      <c r="AD516" s="2"/>
      <c r="AE516" s="2"/>
    </row>
    <row r="517" spans="6:31" ht="12.5" x14ac:dyDescent="0.25">
      <c r="F517" s="2"/>
      <c r="I517" s="2"/>
      <c r="J517" s="2"/>
      <c r="M517" s="2"/>
      <c r="N517" s="2"/>
      <c r="W517" s="2"/>
      <c r="X517" s="2"/>
      <c r="Y517" s="2"/>
      <c r="Z517" s="2"/>
      <c r="AA517" s="2"/>
      <c r="AB517" s="2"/>
      <c r="AC517" s="2"/>
      <c r="AD517" s="2"/>
      <c r="AE517" s="2"/>
    </row>
    <row r="518" spans="6:31" ht="12.5" x14ac:dyDescent="0.25">
      <c r="F518" s="2"/>
      <c r="I518" s="2"/>
      <c r="J518" s="2"/>
      <c r="M518" s="2"/>
      <c r="N518" s="2"/>
      <c r="W518" s="2"/>
      <c r="X518" s="2"/>
      <c r="Y518" s="2"/>
      <c r="Z518" s="2"/>
      <c r="AA518" s="2"/>
      <c r="AB518" s="2"/>
      <c r="AC518" s="2"/>
      <c r="AD518" s="2"/>
      <c r="AE518" s="2"/>
    </row>
    <row r="519" spans="6:31" ht="12.5" x14ac:dyDescent="0.25">
      <c r="F519" s="2"/>
      <c r="I519" s="2"/>
      <c r="J519" s="2"/>
      <c r="M519" s="2"/>
      <c r="N519" s="2"/>
      <c r="W519" s="2"/>
      <c r="X519" s="2"/>
      <c r="Y519" s="2"/>
      <c r="Z519" s="2"/>
      <c r="AA519" s="2"/>
      <c r="AB519" s="2"/>
      <c r="AC519" s="2"/>
      <c r="AD519" s="2"/>
      <c r="AE519" s="2"/>
    </row>
    <row r="520" spans="6:31" ht="12.5" x14ac:dyDescent="0.25">
      <c r="F520" s="2"/>
      <c r="I520" s="2"/>
      <c r="J520" s="2"/>
      <c r="M520" s="2"/>
      <c r="N520" s="2"/>
      <c r="W520" s="2"/>
      <c r="X520" s="2"/>
      <c r="Y520" s="2"/>
      <c r="Z520" s="2"/>
      <c r="AA520" s="2"/>
      <c r="AB520" s="2"/>
      <c r="AC520" s="2"/>
      <c r="AD520" s="2"/>
      <c r="AE520" s="2"/>
    </row>
    <row r="521" spans="6:31" ht="12.5" x14ac:dyDescent="0.25">
      <c r="F521" s="2"/>
      <c r="I521" s="2"/>
      <c r="J521" s="2"/>
      <c r="M521" s="2"/>
      <c r="N521" s="2"/>
      <c r="W521" s="2"/>
      <c r="X521" s="2"/>
      <c r="Y521" s="2"/>
      <c r="Z521" s="2"/>
      <c r="AA521" s="2"/>
      <c r="AB521" s="2"/>
      <c r="AC521" s="2"/>
      <c r="AD521" s="2"/>
      <c r="AE521" s="2"/>
    </row>
    <row r="522" spans="6:31" ht="12.5" x14ac:dyDescent="0.25">
      <c r="F522" s="2"/>
      <c r="I522" s="2"/>
      <c r="J522" s="2"/>
      <c r="M522" s="2"/>
      <c r="N522" s="2"/>
      <c r="W522" s="2"/>
      <c r="X522" s="2"/>
      <c r="Y522" s="2"/>
      <c r="Z522" s="2"/>
      <c r="AA522" s="2"/>
      <c r="AB522" s="2"/>
      <c r="AC522" s="2"/>
      <c r="AD522" s="2"/>
      <c r="AE522" s="2"/>
    </row>
    <row r="523" spans="6:31" ht="12.5" x14ac:dyDescent="0.25">
      <c r="F523" s="2"/>
      <c r="I523" s="2"/>
      <c r="J523" s="2"/>
      <c r="M523" s="2"/>
      <c r="N523" s="2"/>
      <c r="W523" s="2"/>
      <c r="X523" s="2"/>
      <c r="Y523" s="2"/>
      <c r="Z523" s="2"/>
      <c r="AA523" s="2"/>
      <c r="AB523" s="2"/>
      <c r="AC523" s="2"/>
      <c r="AD523" s="2"/>
      <c r="AE523" s="2"/>
    </row>
    <row r="524" spans="6:31" ht="12.5" x14ac:dyDescent="0.25">
      <c r="F524" s="2"/>
      <c r="I524" s="2"/>
      <c r="J524" s="2"/>
      <c r="M524" s="2"/>
      <c r="N524" s="2"/>
      <c r="W524" s="2"/>
      <c r="X524" s="2"/>
      <c r="Y524" s="2"/>
      <c r="Z524" s="2"/>
      <c r="AA524" s="2"/>
      <c r="AB524" s="2"/>
      <c r="AC524" s="2"/>
      <c r="AD524" s="2"/>
      <c r="AE524" s="2"/>
    </row>
    <row r="525" spans="6:31" ht="12.5" x14ac:dyDescent="0.25">
      <c r="F525" s="2"/>
      <c r="I525" s="2"/>
      <c r="J525" s="2"/>
      <c r="M525" s="2"/>
      <c r="N525" s="2"/>
      <c r="W525" s="2"/>
      <c r="X525" s="2"/>
      <c r="Y525" s="2"/>
      <c r="Z525" s="2"/>
      <c r="AA525" s="2"/>
      <c r="AB525" s="2"/>
      <c r="AC525" s="2"/>
      <c r="AD525" s="2"/>
      <c r="AE525" s="2"/>
    </row>
    <row r="526" spans="6:31" ht="12.5" x14ac:dyDescent="0.25">
      <c r="F526" s="2"/>
      <c r="I526" s="2"/>
      <c r="J526" s="2"/>
      <c r="M526" s="2"/>
      <c r="N526" s="2"/>
      <c r="W526" s="2"/>
      <c r="X526" s="2"/>
      <c r="Y526" s="2"/>
      <c r="Z526" s="2"/>
      <c r="AA526" s="2"/>
      <c r="AB526" s="2"/>
      <c r="AC526" s="2"/>
      <c r="AD526" s="2"/>
      <c r="AE526" s="2"/>
    </row>
    <row r="527" spans="6:31" ht="12.5" x14ac:dyDescent="0.25">
      <c r="F527" s="2"/>
      <c r="I527" s="2"/>
      <c r="J527" s="2"/>
      <c r="M527" s="2"/>
      <c r="N527" s="2"/>
      <c r="W527" s="2"/>
      <c r="X527" s="2"/>
      <c r="Y527" s="2"/>
      <c r="Z527" s="2"/>
      <c r="AA527" s="2"/>
      <c r="AB527" s="2"/>
      <c r="AC527" s="2"/>
      <c r="AD527" s="2"/>
      <c r="AE527" s="2"/>
    </row>
    <row r="528" spans="6:31" ht="12.5" x14ac:dyDescent="0.25">
      <c r="F528" s="2"/>
      <c r="I528" s="2"/>
      <c r="J528" s="2"/>
      <c r="M528" s="2"/>
      <c r="N528" s="2"/>
      <c r="W528" s="2"/>
      <c r="X528" s="2"/>
      <c r="Y528" s="2"/>
      <c r="Z528" s="2"/>
      <c r="AA528" s="2"/>
      <c r="AB528" s="2"/>
      <c r="AC528" s="2"/>
      <c r="AD528" s="2"/>
      <c r="AE528" s="2"/>
    </row>
    <row r="529" spans="6:31" ht="12.5" x14ac:dyDescent="0.25">
      <c r="F529" s="2"/>
      <c r="I529" s="2"/>
      <c r="J529" s="2"/>
      <c r="M529" s="2"/>
      <c r="N529" s="2"/>
      <c r="W529" s="2"/>
      <c r="X529" s="2"/>
      <c r="Y529" s="2"/>
      <c r="Z529" s="2"/>
      <c r="AA529" s="2"/>
      <c r="AB529" s="2"/>
      <c r="AC529" s="2"/>
      <c r="AD529" s="2"/>
      <c r="AE529" s="2"/>
    </row>
    <row r="530" spans="6:31" ht="12.5" x14ac:dyDescent="0.25">
      <c r="F530" s="2"/>
      <c r="I530" s="2"/>
      <c r="J530" s="2"/>
      <c r="M530" s="2"/>
      <c r="N530" s="2"/>
      <c r="W530" s="2"/>
      <c r="X530" s="2"/>
      <c r="Y530" s="2"/>
      <c r="Z530" s="2"/>
      <c r="AA530" s="2"/>
      <c r="AB530" s="2"/>
      <c r="AC530" s="2"/>
      <c r="AD530" s="2"/>
      <c r="AE530" s="2"/>
    </row>
    <row r="531" spans="6:31" ht="12.5" x14ac:dyDescent="0.25">
      <c r="F531" s="2"/>
      <c r="I531" s="2"/>
      <c r="J531" s="2"/>
      <c r="M531" s="2"/>
      <c r="N531" s="2"/>
      <c r="W531" s="2"/>
      <c r="X531" s="2"/>
      <c r="Y531" s="2"/>
      <c r="Z531" s="2"/>
      <c r="AA531" s="2"/>
      <c r="AB531" s="2"/>
      <c r="AC531" s="2"/>
      <c r="AD531" s="2"/>
      <c r="AE531" s="2"/>
    </row>
    <row r="532" spans="6:31" ht="12.5" x14ac:dyDescent="0.25">
      <c r="F532" s="2"/>
      <c r="I532" s="2"/>
      <c r="J532" s="2"/>
      <c r="M532" s="2"/>
      <c r="N532" s="2"/>
      <c r="W532" s="2"/>
      <c r="X532" s="2"/>
      <c r="Y532" s="2"/>
      <c r="Z532" s="2"/>
      <c r="AA532" s="2"/>
      <c r="AB532" s="2"/>
      <c r="AC532" s="2"/>
      <c r="AD532" s="2"/>
      <c r="AE532" s="2"/>
    </row>
    <row r="533" spans="6:31" ht="12.5" x14ac:dyDescent="0.25">
      <c r="F533" s="2"/>
      <c r="I533" s="2"/>
      <c r="J533" s="2"/>
      <c r="M533" s="2"/>
      <c r="N533" s="2"/>
      <c r="W533" s="2"/>
      <c r="X533" s="2"/>
      <c r="Y533" s="2"/>
      <c r="Z533" s="2"/>
      <c r="AA533" s="2"/>
      <c r="AB533" s="2"/>
      <c r="AC533" s="2"/>
      <c r="AD533" s="2"/>
      <c r="AE533" s="2"/>
    </row>
    <row r="534" spans="6:31" ht="12.5" x14ac:dyDescent="0.25">
      <c r="F534" s="2"/>
      <c r="I534" s="2"/>
      <c r="J534" s="2"/>
      <c r="M534" s="2"/>
      <c r="N534" s="2"/>
      <c r="W534" s="2"/>
      <c r="X534" s="2"/>
      <c r="Y534" s="2"/>
      <c r="Z534" s="2"/>
      <c r="AA534" s="2"/>
      <c r="AB534" s="2"/>
      <c r="AC534" s="2"/>
      <c r="AD534" s="2"/>
      <c r="AE534" s="2"/>
    </row>
    <row r="535" spans="6:31" ht="12.5" x14ac:dyDescent="0.25">
      <c r="F535" s="2"/>
      <c r="I535" s="2"/>
      <c r="J535" s="2"/>
      <c r="M535" s="2"/>
      <c r="N535" s="2"/>
      <c r="W535" s="2"/>
      <c r="X535" s="2"/>
      <c r="Y535" s="2"/>
      <c r="Z535" s="2"/>
      <c r="AA535" s="2"/>
      <c r="AB535" s="2"/>
      <c r="AC535" s="2"/>
      <c r="AD535" s="2"/>
      <c r="AE535" s="2"/>
    </row>
    <row r="536" spans="6:31" ht="12.5" x14ac:dyDescent="0.25">
      <c r="F536" s="2"/>
      <c r="I536" s="2"/>
      <c r="J536" s="2"/>
      <c r="M536" s="2"/>
      <c r="N536" s="2"/>
      <c r="W536" s="2"/>
      <c r="X536" s="2"/>
      <c r="Y536" s="2"/>
      <c r="Z536" s="2"/>
      <c r="AA536" s="2"/>
      <c r="AB536" s="2"/>
      <c r="AC536" s="2"/>
      <c r="AD536" s="2"/>
      <c r="AE536" s="2"/>
    </row>
    <row r="537" spans="6:31" ht="12.5" x14ac:dyDescent="0.25">
      <c r="F537" s="2"/>
      <c r="I537" s="2"/>
      <c r="J537" s="2"/>
      <c r="M537" s="2"/>
      <c r="N537" s="2"/>
      <c r="W537" s="2"/>
      <c r="X537" s="2"/>
      <c r="Y537" s="2"/>
      <c r="Z537" s="2"/>
      <c r="AA537" s="2"/>
      <c r="AB537" s="2"/>
      <c r="AC537" s="2"/>
      <c r="AD537" s="2"/>
      <c r="AE537" s="2"/>
    </row>
    <row r="538" spans="6:31" ht="12.5" x14ac:dyDescent="0.25">
      <c r="F538" s="2"/>
      <c r="I538" s="2"/>
      <c r="J538" s="2"/>
      <c r="M538" s="2"/>
      <c r="N538" s="2"/>
      <c r="W538" s="2"/>
      <c r="X538" s="2"/>
      <c r="Y538" s="2"/>
      <c r="Z538" s="2"/>
      <c r="AA538" s="2"/>
      <c r="AB538" s="2"/>
      <c r="AC538" s="2"/>
      <c r="AD538" s="2"/>
      <c r="AE538" s="2"/>
    </row>
    <row r="539" spans="6:31" ht="12.5" x14ac:dyDescent="0.25">
      <c r="F539" s="2"/>
      <c r="I539" s="2"/>
      <c r="J539" s="2"/>
      <c r="M539" s="2"/>
      <c r="N539" s="2"/>
      <c r="W539" s="2"/>
      <c r="X539" s="2"/>
      <c r="Y539" s="2"/>
      <c r="Z539" s="2"/>
      <c r="AA539" s="2"/>
      <c r="AB539" s="2"/>
      <c r="AC539" s="2"/>
      <c r="AD539" s="2"/>
      <c r="AE539" s="2"/>
    </row>
    <row r="540" spans="6:31" ht="12.5" x14ac:dyDescent="0.25">
      <c r="F540" s="2"/>
      <c r="I540" s="2"/>
      <c r="J540" s="2"/>
      <c r="M540" s="2"/>
      <c r="N540" s="2"/>
      <c r="W540" s="2"/>
      <c r="X540" s="2"/>
      <c r="Y540" s="2"/>
      <c r="Z540" s="2"/>
      <c r="AA540" s="2"/>
      <c r="AB540" s="2"/>
      <c r="AC540" s="2"/>
      <c r="AD540" s="2"/>
      <c r="AE540" s="2"/>
    </row>
    <row r="541" spans="6:31" ht="12.5" x14ac:dyDescent="0.25">
      <c r="F541" s="2"/>
      <c r="I541" s="2"/>
      <c r="J541" s="2"/>
      <c r="M541" s="2"/>
      <c r="N541" s="2"/>
      <c r="W541" s="2"/>
      <c r="X541" s="2"/>
      <c r="Y541" s="2"/>
      <c r="Z541" s="2"/>
      <c r="AA541" s="2"/>
      <c r="AB541" s="2"/>
      <c r="AC541" s="2"/>
      <c r="AD541" s="2"/>
      <c r="AE541" s="2"/>
    </row>
    <row r="542" spans="6:31" ht="12.5" x14ac:dyDescent="0.25">
      <c r="F542" s="2"/>
      <c r="I542" s="2"/>
      <c r="J542" s="2"/>
      <c r="M542" s="2"/>
      <c r="N542" s="2"/>
      <c r="W542" s="2"/>
      <c r="X542" s="2"/>
      <c r="Y542" s="2"/>
      <c r="Z542" s="2"/>
      <c r="AA542" s="2"/>
      <c r="AB542" s="2"/>
      <c r="AC542" s="2"/>
      <c r="AD542" s="2"/>
      <c r="AE542" s="2"/>
    </row>
    <row r="543" spans="6:31" ht="12.5" x14ac:dyDescent="0.25">
      <c r="F543" s="2"/>
      <c r="I543" s="2"/>
      <c r="J543" s="2"/>
      <c r="M543" s="2"/>
      <c r="N543" s="2"/>
      <c r="W543" s="2"/>
      <c r="X543" s="2"/>
      <c r="Y543" s="2"/>
      <c r="Z543" s="2"/>
      <c r="AA543" s="2"/>
      <c r="AB543" s="2"/>
      <c r="AC543" s="2"/>
      <c r="AD543" s="2"/>
      <c r="AE543" s="2"/>
    </row>
    <row r="544" spans="6:31" ht="12.5" x14ac:dyDescent="0.25">
      <c r="F544" s="2"/>
      <c r="I544" s="2"/>
      <c r="J544" s="2"/>
      <c r="M544" s="2"/>
      <c r="N544" s="2"/>
      <c r="W544" s="2"/>
      <c r="X544" s="2"/>
      <c r="Y544" s="2"/>
      <c r="Z544" s="2"/>
      <c r="AA544" s="2"/>
      <c r="AB544" s="2"/>
      <c r="AC544" s="2"/>
      <c r="AD544" s="2"/>
      <c r="AE544" s="2"/>
    </row>
    <row r="545" spans="6:31" ht="12.5" x14ac:dyDescent="0.25">
      <c r="F545" s="2"/>
      <c r="I545" s="2"/>
      <c r="J545" s="2"/>
      <c r="M545" s="2"/>
      <c r="N545" s="2"/>
      <c r="W545" s="2"/>
      <c r="X545" s="2"/>
      <c r="Y545" s="2"/>
      <c r="Z545" s="2"/>
      <c r="AA545" s="2"/>
      <c r="AB545" s="2"/>
      <c r="AC545" s="2"/>
      <c r="AD545" s="2"/>
      <c r="AE545" s="2"/>
    </row>
    <row r="546" spans="6:31" ht="12.5" x14ac:dyDescent="0.25">
      <c r="F546" s="2"/>
      <c r="I546" s="2"/>
      <c r="J546" s="2"/>
      <c r="M546" s="2"/>
      <c r="N546" s="2"/>
      <c r="W546" s="2"/>
      <c r="X546" s="2"/>
      <c r="Y546" s="2"/>
      <c r="Z546" s="2"/>
      <c r="AA546" s="2"/>
      <c r="AB546" s="2"/>
      <c r="AC546" s="2"/>
      <c r="AD546" s="2"/>
      <c r="AE546" s="2"/>
    </row>
    <row r="547" spans="6:31" ht="12.5" x14ac:dyDescent="0.25">
      <c r="F547" s="2"/>
      <c r="I547" s="2"/>
      <c r="J547" s="2"/>
      <c r="M547" s="2"/>
      <c r="N547" s="2"/>
      <c r="W547" s="2"/>
      <c r="X547" s="2"/>
      <c r="Y547" s="2"/>
      <c r="Z547" s="2"/>
      <c r="AA547" s="2"/>
      <c r="AB547" s="2"/>
      <c r="AC547" s="2"/>
      <c r="AD547" s="2"/>
      <c r="AE547" s="2"/>
    </row>
    <row r="548" spans="6:31" ht="12.5" x14ac:dyDescent="0.25">
      <c r="F548" s="2"/>
      <c r="I548" s="2"/>
      <c r="J548" s="2"/>
      <c r="M548" s="2"/>
      <c r="N548" s="2"/>
      <c r="W548" s="2"/>
      <c r="X548" s="2"/>
      <c r="Y548" s="2"/>
      <c r="Z548" s="2"/>
      <c r="AA548" s="2"/>
      <c r="AB548" s="2"/>
      <c r="AC548" s="2"/>
      <c r="AD548" s="2"/>
      <c r="AE548" s="2"/>
    </row>
    <row r="549" spans="6:31" ht="12.5" x14ac:dyDescent="0.25">
      <c r="F549" s="2"/>
      <c r="I549" s="2"/>
      <c r="J549" s="2"/>
      <c r="M549" s="2"/>
      <c r="N549" s="2"/>
      <c r="W549" s="2"/>
      <c r="X549" s="2"/>
      <c r="Y549" s="2"/>
      <c r="Z549" s="2"/>
      <c r="AA549" s="2"/>
      <c r="AB549" s="2"/>
      <c r="AC549" s="2"/>
      <c r="AD549" s="2"/>
      <c r="AE549" s="2"/>
    </row>
    <row r="550" spans="6:31" ht="12.5" x14ac:dyDescent="0.25">
      <c r="F550" s="2"/>
      <c r="I550" s="2"/>
      <c r="J550" s="2"/>
      <c r="M550" s="2"/>
      <c r="N550" s="2"/>
      <c r="W550" s="2"/>
      <c r="X550" s="2"/>
      <c r="Y550" s="2"/>
      <c r="Z550" s="2"/>
      <c r="AA550" s="2"/>
      <c r="AB550" s="2"/>
      <c r="AC550" s="2"/>
      <c r="AD550" s="2"/>
      <c r="AE550" s="2"/>
    </row>
    <row r="551" spans="6:31" ht="12.5" x14ac:dyDescent="0.25">
      <c r="F551" s="2"/>
      <c r="I551" s="2"/>
      <c r="J551" s="2"/>
      <c r="M551" s="2"/>
      <c r="N551" s="2"/>
      <c r="W551" s="2"/>
      <c r="X551" s="2"/>
      <c r="Y551" s="2"/>
      <c r="Z551" s="2"/>
      <c r="AA551" s="2"/>
      <c r="AB551" s="2"/>
      <c r="AC551" s="2"/>
      <c r="AD551" s="2"/>
      <c r="AE551" s="2"/>
    </row>
    <row r="552" spans="6:31" ht="12.5" x14ac:dyDescent="0.25">
      <c r="F552" s="2"/>
      <c r="I552" s="2"/>
      <c r="J552" s="2"/>
      <c r="M552" s="2"/>
      <c r="N552" s="2"/>
      <c r="W552" s="2"/>
      <c r="X552" s="2"/>
      <c r="Y552" s="2"/>
      <c r="Z552" s="2"/>
      <c r="AA552" s="2"/>
      <c r="AB552" s="2"/>
      <c r="AC552" s="2"/>
      <c r="AD552" s="2"/>
      <c r="AE552" s="2"/>
    </row>
    <row r="553" spans="6:31" ht="12.5" x14ac:dyDescent="0.25">
      <c r="F553" s="2"/>
      <c r="I553" s="2"/>
      <c r="J553" s="2"/>
      <c r="M553" s="2"/>
      <c r="N553" s="2"/>
      <c r="W553" s="2"/>
      <c r="X553" s="2"/>
      <c r="Y553" s="2"/>
      <c r="Z553" s="2"/>
      <c r="AA553" s="2"/>
      <c r="AB553" s="2"/>
      <c r="AC553" s="2"/>
      <c r="AD553" s="2"/>
      <c r="AE553" s="2"/>
    </row>
    <row r="554" spans="6:31" ht="12.5" x14ac:dyDescent="0.25">
      <c r="F554" s="2"/>
      <c r="I554" s="2"/>
      <c r="J554" s="2"/>
      <c r="M554" s="2"/>
      <c r="N554" s="2"/>
      <c r="W554" s="2"/>
      <c r="X554" s="2"/>
      <c r="Y554" s="2"/>
      <c r="Z554" s="2"/>
      <c r="AA554" s="2"/>
      <c r="AB554" s="2"/>
      <c r="AC554" s="2"/>
      <c r="AD554" s="2"/>
      <c r="AE554" s="2"/>
    </row>
    <row r="555" spans="6:31" ht="12.5" x14ac:dyDescent="0.25">
      <c r="F555" s="2"/>
      <c r="I555" s="2"/>
      <c r="J555" s="2"/>
      <c r="M555" s="2"/>
      <c r="N555" s="2"/>
      <c r="W555" s="2"/>
      <c r="X555" s="2"/>
      <c r="Y555" s="2"/>
      <c r="Z555" s="2"/>
      <c r="AA555" s="2"/>
      <c r="AB555" s="2"/>
      <c r="AC555" s="2"/>
      <c r="AD555" s="2"/>
      <c r="AE555" s="2"/>
    </row>
    <row r="556" spans="6:31" ht="12.5" x14ac:dyDescent="0.25">
      <c r="F556" s="2"/>
      <c r="I556" s="2"/>
      <c r="J556" s="2"/>
      <c r="M556" s="2"/>
      <c r="N556" s="2"/>
      <c r="W556" s="2"/>
      <c r="X556" s="2"/>
      <c r="Y556" s="2"/>
      <c r="Z556" s="2"/>
      <c r="AA556" s="2"/>
      <c r="AB556" s="2"/>
      <c r="AC556" s="2"/>
      <c r="AD556" s="2"/>
      <c r="AE556" s="2"/>
    </row>
    <row r="557" spans="6:31" ht="12.5" x14ac:dyDescent="0.25">
      <c r="F557" s="2"/>
      <c r="I557" s="2"/>
      <c r="J557" s="2"/>
      <c r="M557" s="2"/>
      <c r="N557" s="2"/>
      <c r="W557" s="2"/>
      <c r="X557" s="2"/>
      <c r="Y557" s="2"/>
      <c r="Z557" s="2"/>
      <c r="AA557" s="2"/>
      <c r="AB557" s="2"/>
      <c r="AC557" s="2"/>
      <c r="AD557" s="2"/>
      <c r="AE557" s="2"/>
    </row>
    <row r="558" spans="6:31" ht="12.5" x14ac:dyDescent="0.25">
      <c r="F558" s="2"/>
      <c r="I558" s="2"/>
      <c r="J558" s="2"/>
      <c r="M558" s="2"/>
      <c r="N558" s="2"/>
      <c r="W558" s="2"/>
      <c r="X558" s="2"/>
      <c r="Y558" s="2"/>
      <c r="Z558" s="2"/>
      <c r="AA558" s="2"/>
      <c r="AB558" s="2"/>
      <c r="AC558" s="2"/>
      <c r="AD558" s="2"/>
      <c r="AE558" s="2"/>
    </row>
    <row r="559" spans="6:31" ht="12.5" x14ac:dyDescent="0.25">
      <c r="F559" s="2"/>
      <c r="I559" s="2"/>
      <c r="J559" s="2"/>
      <c r="M559" s="2"/>
      <c r="N559" s="2"/>
      <c r="W559" s="2"/>
      <c r="X559" s="2"/>
      <c r="Y559" s="2"/>
      <c r="Z559" s="2"/>
      <c r="AA559" s="2"/>
      <c r="AB559" s="2"/>
      <c r="AC559" s="2"/>
      <c r="AD559" s="2"/>
      <c r="AE559" s="2"/>
    </row>
    <row r="560" spans="6:31" ht="12.5" x14ac:dyDescent="0.25">
      <c r="F560" s="2"/>
      <c r="I560" s="2"/>
      <c r="J560" s="2"/>
      <c r="M560" s="2"/>
      <c r="N560" s="2"/>
      <c r="W560" s="2"/>
      <c r="X560" s="2"/>
      <c r="Y560" s="2"/>
      <c r="Z560" s="2"/>
      <c r="AA560" s="2"/>
      <c r="AB560" s="2"/>
      <c r="AC560" s="2"/>
      <c r="AD560" s="2"/>
      <c r="AE560" s="2"/>
    </row>
    <row r="561" spans="6:31" ht="12.5" x14ac:dyDescent="0.25">
      <c r="F561" s="2"/>
      <c r="I561" s="2"/>
      <c r="J561" s="2"/>
      <c r="M561" s="2"/>
      <c r="N561" s="2"/>
      <c r="W561" s="2"/>
      <c r="X561" s="2"/>
      <c r="Y561" s="2"/>
      <c r="Z561" s="2"/>
      <c r="AA561" s="2"/>
      <c r="AB561" s="2"/>
      <c r="AC561" s="2"/>
      <c r="AD561" s="2"/>
      <c r="AE561" s="2"/>
    </row>
    <row r="562" spans="6:31" ht="12.5" x14ac:dyDescent="0.25">
      <c r="F562" s="2"/>
      <c r="I562" s="2"/>
      <c r="J562" s="2"/>
      <c r="M562" s="2"/>
      <c r="N562" s="2"/>
      <c r="W562" s="2"/>
      <c r="X562" s="2"/>
      <c r="Y562" s="2"/>
      <c r="Z562" s="2"/>
      <c r="AA562" s="2"/>
      <c r="AB562" s="2"/>
      <c r="AC562" s="2"/>
      <c r="AD562" s="2"/>
      <c r="AE562" s="2"/>
    </row>
    <row r="563" spans="6:31" ht="12.5" x14ac:dyDescent="0.25">
      <c r="F563" s="2"/>
      <c r="I563" s="2"/>
      <c r="J563" s="2"/>
      <c r="M563" s="2"/>
      <c r="N563" s="2"/>
      <c r="W563" s="2"/>
      <c r="X563" s="2"/>
      <c r="Y563" s="2"/>
      <c r="Z563" s="2"/>
      <c r="AA563" s="2"/>
      <c r="AB563" s="2"/>
      <c r="AC563" s="2"/>
      <c r="AD563" s="2"/>
      <c r="AE563" s="2"/>
    </row>
    <row r="564" spans="6:31" ht="12.5" x14ac:dyDescent="0.25">
      <c r="F564" s="2"/>
      <c r="I564" s="2"/>
      <c r="J564" s="2"/>
      <c r="M564" s="2"/>
      <c r="N564" s="2"/>
      <c r="W564" s="2"/>
      <c r="X564" s="2"/>
      <c r="Y564" s="2"/>
      <c r="Z564" s="2"/>
      <c r="AA564" s="2"/>
      <c r="AB564" s="2"/>
      <c r="AC564" s="2"/>
      <c r="AD564" s="2"/>
      <c r="AE564" s="2"/>
    </row>
    <row r="565" spans="6:31" ht="12.5" x14ac:dyDescent="0.25">
      <c r="F565" s="2"/>
      <c r="I565" s="2"/>
      <c r="J565" s="2"/>
      <c r="M565" s="2"/>
      <c r="N565" s="2"/>
      <c r="W565" s="2"/>
      <c r="X565" s="2"/>
      <c r="Y565" s="2"/>
      <c r="Z565" s="2"/>
      <c r="AA565" s="2"/>
      <c r="AB565" s="2"/>
      <c r="AC565" s="2"/>
      <c r="AD565" s="2"/>
      <c r="AE565" s="2"/>
    </row>
    <row r="566" spans="6:31" ht="12.5" x14ac:dyDescent="0.25">
      <c r="F566" s="2"/>
      <c r="I566" s="2"/>
      <c r="J566" s="2"/>
      <c r="M566" s="2"/>
      <c r="N566" s="2"/>
      <c r="W566" s="2"/>
      <c r="X566" s="2"/>
      <c r="Y566" s="2"/>
      <c r="Z566" s="2"/>
      <c r="AA566" s="2"/>
      <c r="AB566" s="2"/>
      <c r="AC566" s="2"/>
      <c r="AD566" s="2"/>
      <c r="AE566" s="2"/>
    </row>
    <row r="567" spans="6:31" ht="12.5" x14ac:dyDescent="0.25">
      <c r="F567" s="2"/>
      <c r="I567" s="2"/>
      <c r="J567" s="2"/>
      <c r="M567" s="2"/>
      <c r="N567" s="2"/>
      <c r="W567" s="2"/>
      <c r="X567" s="2"/>
      <c r="Y567" s="2"/>
      <c r="Z567" s="2"/>
      <c r="AA567" s="2"/>
      <c r="AB567" s="2"/>
      <c r="AC567" s="2"/>
      <c r="AD567" s="2"/>
      <c r="AE567" s="2"/>
    </row>
    <row r="568" spans="6:31" ht="12.5" x14ac:dyDescent="0.25">
      <c r="F568" s="2"/>
      <c r="I568" s="2"/>
      <c r="J568" s="2"/>
      <c r="M568" s="2"/>
      <c r="N568" s="2"/>
      <c r="W568" s="2"/>
      <c r="X568" s="2"/>
      <c r="Y568" s="2"/>
      <c r="Z568" s="2"/>
      <c r="AA568" s="2"/>
      <c r="AB568" s="2"/>
      <c r="AC568" s="2"/>
      <c r="AD568" s="2"/>
      <c r="AE568" s="2"/>
    </row>
    <row r="569" spans="6:31" ht="12.5" x14ac:dyDescent="0.25">
      <c r="F569" s="2"/>
      <c r="I569" s="2"/>
      <c r="J569" s="2"/>
      <c r="M569" s="2"/>
      <c r="N569" s="2"/>
      <c r="W569" s="2"/>
      <c r="X569" s="2"/>
      <c r="Y569" s="2"/>
      <c r="Z569" s="2"/>
      <c r="AA569" s="2"/>
      <c r="AB569" s="2"/>
      <c r="AC569" s="2"/>
      <c r="AD569" s="2"/>
      <c r="AE569" s="2"/>
    </row>
    <row r="570" spans="6:31" ht="12.5" x14ac:dyDescent="0.25">
      <c r="F570" s="2"/>
      <c r="I570" s="2"/>
      <c r="J570" s="2"/>
      <c r="M570" s="2"/>
      <c r="N570" s="2"/>
      <c r="W570" s="2"/>
      <c r="X570" s="2"/>
      <c r="Y570" s="2"/>
      <c r="Z570" s="2"/>
      <c r="AA570" s="2"/>
      <c r="AB570" s="2"/>
      <c r="AC570" s="2"/>
      <c r="AD570" s="2"/>
      <c r="AE570" s="2"/>
    </row>
    <row r="571" spans="6:31" ht="12.5" x14ac:dyDescent="0.25">
      <c r="F571" s="2"/>
      <c r="I571" s="2"/>
      <c r="J571" s="2"/>
      <c r="M571" s="2"/>
      <c r="N571" s="2"/>
      <c r="W571" s="2"/>
      <c r="X571" s="2"/>
      <c r="Y571" s="2"/>
      <c r="Z571" s="2"/>
      <c r="AA571" s="2"/>
      <c r="AB571" s="2"/>
      <c r="AC571" s="2"/>
      <c r="AD571" s="2"/>
      <c r="AE571" s="2"/>
    </row>
    <row r="572" spans="6:31" ht="12.5" x14ac:dyDescent="0.25">
      <c r="F572" s="2"/>
      <c r="I572" s="2"/>
      <c r="J572" s="2"/>
      <c r="M572" s="2"/>
      <c r="N572" s="2"/>
      <c r="W572" s="2"/>
      <c r="X572" s="2"/>
      <c r="Y572" s="2"/>
      <c r="Z572" s="2"/>
      <c r="AA572" s="2"/>
      <c r="AB572" s="2"/>
      <c r="AC572" s="2"/>
      <c r="AD572" s="2"/>
      <c r="AE572" s="2"/>
    </row>
    <row r="573" spans="6:31" ht="12.5" x14ac:dyDescent="0.25">
      <c r="F573" s="2"/>
      <c r="I573" s="2"/>
      <c r="J573" s="2"/>
      <c r="M573" s="2"/>
      <c r="N573" s="2"/>
      <c r="W573" s="2"/>
      <c r="X573" s="2"/>
      <c r="Y573" s="2"/>
      <c r="Z573" s="2"/>
      <c r="AA573" s="2"/>
      <c r="AB573" s="2"/>
      <c r="AC573" s="2"/>
      <c r="AD573" s="2"/>
      <c r="AE573" s="2"/>
    </row>
    <row r="574" spans="6:31" ht="12.5" x14ac:dyDescent="0.25">
      <c r="F574" s="2"/>
      <c r="I574" s="2"/>
      <c r="J574" s="2"/>
      <c r="M574" s="2"/>
      <c r="N574" s="2"/>
      <c r="W574" s="2"/>
      <c r="X574" s="2"/>
      <c r="Y574" s="2"/>
      <c r="Z574" s="2"/>
      <c r="AA574" s="2"/>
      <c r="AB574" s="2"/>
      <c r="AC574" s="2"/>
      <c r="AD574" s="2"/>
      <c r="AE574" s="2"/>
    </row>
    <row r="575" spans="6:31" ht="12.5" x14ac:dyDescent="0.25">
      <c r="F575" s="2"/>
      <c r="I575" s="2"/>
      <c r="J575" s="2"/>
      <c r="M575" s="2"/>
      <c r="N575" s="2"/>
      <c r="W575" s="2"/>
      <c r="X575" s="2"/>
      <c r="Y575" s="2"/>
      <c r="Z575" s="2"/>
      <c r="AA575" s="2"/>
      <c r="AB575" s="2"/>
      <c r="AC575" s="2"/>
      <c r="AD575" s="2"/>
      <c r="AE575" s="2"/>
    </row>
    <row r="576" spans="6:31" ht="12.5" x14ac:dyDescent="0.25">
      <c r="F576" s="2"/>
      <c r="I576" s="2"/>
      <c r="J576" s="2"/>
      <c r="M576" s="2"/>
      <c r="N576" s="2"/>
      <c r="W576" s="2"/>
      <c r="X576" s="2"/>
      <c r="Y576" s="2"/>
      <c r="Z576" s="2"/>
      <c r="AA576" s="2"/>
      <c r="AB576" s="2"/>
      <c r="AC576" s="2"/>
      <c r="AD576" s="2"/>
      <c r="AE576" s="2"/>
    </row>
    <row r="577" spans="6:31" ht="12.5" x14ac:dyDescent="0.25">
      <c r="F577" s="2"/>
      <c r="I577" s="2"/>
      <c r="J577" s="2"/>
      <c r="M577" s="2"/>
      <c r="N577" s="2"/>
      <c r="W577" s="2"/>
      <c r="X577" s="2"/>
      <c r="Y577" s="2"/>
      <c r="Z577" s="2"/>
      <c r="AA577" s="2"/>
      <c r="AB577" s="2"/>
      <c r="AC577" s="2"/>
      <c r="AD577" s="2"/>
      <c r="AE577" s="2"/>
    </row>
    <row r="578" spans="6:31" ht="12.5" x14ac:dyDescent="0.25">
      <c r="F578" s="2"/>
      <c r="I578" s="2"/>
      <c r="J578" s="2"/>
      <c r="M578" s="2"/>
      <c r="N578" s="2"/>
      <c r="W578" s="2"/>
      <c r="X578" s="2"/>
      <c r="Y578" s="2"/>
      <c r="Z578" s="2"/>
      <c r="AA578" s="2"/>
      <c r="AB578" s="2"/>
      <c r="AC578" s="2"/>
      <c r="AD578" s="2"/>
      <c r="AE578" s="2"/>
    </row>
    <row r="579" spans="6:31" ht="12.5" x14ac:dyDescent="0.25">
      <c r="F579" s="2"/>
      <c r="I579" s="2"/>
      <c r="J579" s="2"/>
      <c r="M579" s="2"/>
      <c r="N579" s="2"/>
      <c r="W579" s="2"/>
      <c r="X579" s="2"/>
      <c r="Y579" s="2"/>
      <c r="Z579" s="2"/>
      <c r="AA579" s="2"/>
      <c r="AB579" s="2"/>
      <c r="AC579" s="2"/>
      <c r="AD579" s="2"/>
      <c r="AE579" s="2"/>
    </row>
    <row r="580" spans="6:31" ht="12.5" x14ac:dyDescent="0.25">
      <c r="F580" s="2"/>
      <c r="I580" s="2"/>
      <c r="J580" s="2"/>
      <c r="M580" s="2"/>
      <c r="N580" s="2"/>
      <c r="W580" s="2"/>
      <c r="X580" s="2"/>
      <c r="Y580" s="2"/>
      <c r="Z580" s="2"/>
      <c r="AA580" s="2"/>
      <c r="AB580" s="2"/>
      <c r="AC580" s="2"/>
      <c r="AD580" s="2"/>
      <c r="AE580" s="2"/>
    </row>
    <row r="581" spans="6:31" ht="12.5" x14ac:dyDescent="0.25">
      <c r="F581" s="2"/>
      <c r="I581" s="2"/>
      <c r="J581" s="2"/>
      <c r="M581" s="2"/>
      <c r="N581" s="2"/>
      <c r="W581" s="2"/>
      <c r="X581" s="2"/>
      <c r="Y581" s="2"/>
      <c r="Z581" s="2"/>
      <c r="AA581" s="2"/>
      <c r="AB581" s="2"/>
      <c r="AC581" s="2"/>
      <c r="AD581" s="2"/>
      <c r="AE581" s="2"/>
    </row>
    <row r="582" spans="6:31" ht="12.5" x14ac:dyDescent="0.25">
      <c r="F582" s="2"/>
      <c r="I582" s="2"/>
      <c r="J582" s="2"/>
      <c r="M582" s="2"/>
      <c r="N582" s="2"/>
      <c r="W582" s="2"/>
      <c r="X582" s="2"/>
      <c r="Y582" s="2"/>
      <c r="Z582" s="2"/>
      <c r="AA582" s="2"/>
      <c r="AB582" s="2"/>
      <c r="AC582" s="2"/>
      <c r="AD582" s="2"/>
      <c r="AE582" s="2"/>
    </row>
    <row r="583" spans="6:31" ht="12.5" x14ac:dyDescent="0.25">
      <c r="F583" s="2"/>
      <c r="I583" s="2"/>
      <c r="J583" s="2"/>
      <c r="M583" s="2"/>
      <c r="N583" s="2"/>
      <c r="W583" s="2"/>
      <c r="X583" s="2"/>
      <c r="Y583" s="2"/>
      <c r="Z583" s="2"/>
      <c r="AA583" s="2"/>
      <c r="AB583" s="2"/>
      <c r="AC583" s="2"/>
      <c r="AD583" s="2"/>
      <c r="AE583" s="2"/>
    </row>
    <row r="584" spans="6:31" ht="12.5" x14ac:dyDescent="0.25">
      <c r="F584" s="2"/>
      <c r="I584" s="2"/>
      <c r="J584" s="2"/>
      <c r="M584" s="2"/>
      <c r="N584" s="2"/>
      <c r="W584" s="2"/>
      <c r="X584" s="2"/>
      <c r="Y584" s="2"/>
      <c r="Z584" s="2"/>
      <c r="AA584" s="2"/>
      <c r="AB584" s="2"/>
      <c r="AC584" s="2"/>
      <c r="AD584" s="2"/>
      <c r="AE584" s="2"/>
    </row>
    <row r="585" spans="6:31" ht="12.5" x14ac:dyDescent="0.25">
      <c r="F585" s="2"/>
      <c r="I585" s="2"/>
      <c r="J585" s="2"/>
      <c r="M585" s="2"/>
      <c r="N585" s="2"/>
      <c r="W585" s="2"/>
      <c r="X585" s="2"/>
      <c r="Y585" s="2"/>
      <c r="Z585" s="2"/>
      <c r="AA585" s="2"/>
      <c r="AB585" s="2"/>
      <c r="AC585" s="2"/>
      <c r="AD585" s="2"/>
      <c r="AE585" s="2"/>
    </row>
    <row r="586" spans="6:31" ht="12.5" x14ac:dyDescent="0.25">
      <c r="F586" s="2"/>
      <c r="I586" s="2"/>
      <c r="J586" s="2"/>
      <c r="M586" s="2"/>
      <c r="N586" s="2"/>
      <c r="W586" s="2"/>
      <c r="X586" s="2"/>
      <c r="Y586" s="2"/>
      <c r="Z586" s="2"/>
      <c r="AA586" s="2"/>
      <c r="AB586" s="2"/>
      <c r="AC586" s="2"/>
      <c r="AD586" s="2"/>
      <c r="AE586" s="2"/>
    </row>
    <row r="587" spans="6:31" ht="12.5" x14ac:dyDescent="0.25">
      <c r="F587" s="2"/>
      <c r="I587" s="2"/>
      <c r="J587" s="2"/>
      <c r="M587" s="2"/>
      <c r="N587" s="2"/>
      <c r="W587" s="2"/>
      <c r="X587" s="2"/>
      <c r="Y587" s="2"/>
      <c r="Z587" s="2"/>
      <c r="AA587" s="2"/>
      <c r="AB587" s="2"/>
      <c r="AC587" s="2"/>
      <c r="AD587" s="2"/>
      <c r="AE587" s="2"/>
    </row>
    <row r="588" spans="6:31" ht="12.5" x14ac:dyDescent="0.25">
      <c r="F588" s="2"/>
      <c r="I588" s="2"/>
      <c r="J588" s="2"/>
      <c r="M588" s="2"/>
      <c r="N588" s="2"/>
      <c r="W588" s="2"/>
      <c r="X588" s="2"/>
      <c r="Y588" s="2"/>
      <c r="Z588" s="2"/>
      <c r="AA588" s="2"/>
      <c r="AB588" s="2"/>
      <c r="AC588" s="2"/>
      <c r="AD588" s="2"/>
      <c r="AE588" s="2"/>
    </row>
    <row r="589" spans="6:31" ht="12.5" x14ac:dyDescent="0.25">
      <c r="F589" s="2"/>
      <c r="I589" s="2"/>
      <c r="J589" s="2"/>
      <c r="M589" s="2"/>
      <c r="N589" s="2"/>
      <c r="W589" s="2"/>
      <c r="X589" s="2"/>
      <c r="Y589" s="2"/>
      <c r="Z589" s="2"/>
      <c r="AA589" s="2"/>
      <c r="AB589" s="2"/>
      <c r="AC589" s="2"/>
      <c r="AD589" s="2"/>
      <c r="AE589" s="2"/>
    </row>
    <row r="590" spans="6:31" ht="12.5" x14ac:dyDescent="0.25">
      <c r="F590" s="2"/>
      <c r="I590" s="2"/>
      <c r="J590" s="2"/>
      <c r="M590" s="2"/>
      <c r="N590" s="2"/>
      <c r="W590" s="2"/>
      <c r="X590" s="2"/>
      <c r="Y590" s="2"/>
      <c r="Z590" s="2"/>
      <c r="AA590" s="2"/>
      <c r="AB590" s="2"/>
      <c r="AC590" s="2"/>
      <c r="AD590" s="2"/>
      <c r="AE590" s="2"/>
    </row>
    <row r="591" spans="6:31" ht="12.5" x14ac:dyDescent="0.25">
      <c r="F591" s="2"/>
      <c r="I591" s="2"/>
      <c r="J591" s="2"/>
      <c r="M591" s="2"/>
      <c r="N591" s="2"/>
      <c r="W591" s="2"/>
      <c r="X591" s="2"/>
      <c r="Y591" s="2"/>
      <c r="Z591" s="2"/>
      <c r="AA591" s="2"/>
      <c r="AB591" s="2"/>
      <c r="AC591" s="2"/>
      <c r="AD591" s="2"/>
      <c r="AE591" s="2"/>
    </row>
    <row r="592" spans="6:31" ht="12.5" x14ac:dyDescent="0.25">
      <c r="F592" s="2"/>
      <c r="I592" s="2"/>
      <c r="J592" s="2"/>
      <c r="M592" s="2"/>
      <c r="N592" s="2"/>
      <c r="W592" s="2"/>
      <c r="X592" s="2"/>
      <c r="Y592" s="2"/>
      <c r="Z592" s="2"/>
      <c r="AA592" s="2"/>
      <c r="AB592" s="2"/>
      <c r="AC592" s="2"/>
      <c r="AD592" s="2"/>
      <c r="AE592" s="2"/>
    </row>
    <row r="593" spans="6:31" ht="12.5" x14ac:dyDescent="0.25">
      <c r="F593" s="2"/>
      <c r="I593" s="2"/>
      <c r="J593" s="2"/>
      <c r="M593" s="2"/>
      <c r="N593" s="2"/>
      <c r="W593" s="2"/>
      <c r="X593" s="2"/>
      <c r="Y593" s="2"/>
      <c r="Z593" s="2"/>
      <c r="AA593" s="2"/>
      <c r="AB593" s="2"/>
      <c r="AC593" s="2"/>
      <c r="AD593" s="2"/>
      <c r="AE593" s="2"/>
    </row>
    <row r="594" spans="6:31" ht="12.5" x14ac:dyDescent="0.25">
      <c r="F594" s="2"/>
      <c r="I594" s="2"/>
      <c r="J594" s="2"/>
      <c r="M594" s="2"/>
      <c r="N594" s="2"/>
      <c r="W594" s="2"/>
      <c r="X594" s="2"/>
      <c r="Y594" s="2"/>
      <c r="Z594" s="2"/>
      <c r="AA594" s="2"/>
      <c r="AB594" s="2"/>
      <c r="AC594" s="2"/>
      <c r="AD594" s="2"/>
      <c r="AE594" s="2"/>
    </row>
    <row r="595" spans="6:31" ht="12.5" x14ac:dyDescent="0.25">
      <c r="F595" s="2"/>
      <c r="I595" s="2"/>
      <c r="J595" s="2"/>
      <c r="M595" s="2"/>
      <c r="N595" s="2"/>
      <c r="W595" s="2"/>
      <c r="X595" s="2"/>
      <c r="Y595" s="2"/>
      <c r="Z595" s="2"/>
      <c r="AA595" s="2"/>
      <c r="AB595" s="2"/>
      <c r="AC595" s="2"/>
      <c r="AD595" s="2"/>
      <c r="AE595" s="2"/>
    </row>
    <row r="596" spans="6:31" ht="12.5" x14ac:dyDescent="0.25">
      <c r="F596" s="2"/>
      <c r="I596" s="2"/>
      <c r="J596" s="2"/>
      <c r="M596" s="2"/>
      <c r="N596" s="2"/>
      <c r="W596" s="2"/>
      <c r="X596" s="2"/>
      <c r="Y596" s="2"/>
      <c r="Z596" s="2"/>
      <c r="AA596" s="2"/>
      <c r="AB596" s="2"/>
      <c r="AC596" s="2"/>
      <c r="AD596" s="2"/>
      <c r="AE596" s="2"/>
    </row>
    <row r="597" spans="6:31" ht="12.5" x14ac:dyDescent="0.25">
      <c r="F597" s="2"/>
      <c r="I597" s="2"/>
      <c r="J597" s="2"/>
      <c r="M597" s="2"/>
      <c r="N597" s="2"/>
      <c r="W597" s="2"/>
      <c r="X597" s="2"/>
      <c r="Y597" s="2"/>
      <c r="Z597" s="2"/>
      <c r="AA597" s="2"/>
      <c r="AB597" s="2"/>
      <c r="AC597" s="2"/>
      <c r="AD597" s="2"/>
      <c r="AE597" s="2"/>
    </row>
    <row r="598" spans="6:31" ht="12.5" x14ac:dyDescent="0.25">
      <c r="F598" s="2"/>
      <c r="I598" s="2"/>
      <c r="J598" s="2"/>
      <c r="M598" s="2"/>
      <c r="N598" s="2"/>
      <c r="W598" s="2"/>
      <c r="X598" s="2"/>
      <c r="Y598" s="2"/>
      <c r="Z598" s="2"/>
      <c r="AA598" s="2"/>
      <c r="AB598" s="2"/>
      <c r="AC598" s="2"/>
      <c r="AD598" s="2"/>
      <c r="AE598" s="2"/>
    </row>
    <row r="599" spans="6:31" ht="12.5" x14ac:dyDescent="0.25">
      <c r="F599" s="2"/>
      <c r="I599" s="2"/>
      <c r="J599" s="2"/>
      <c r="M599" s="2"/>
      <c r="N599" s="2"/>
      <c r="W599" s="2"/>
      <c r="X599" s="2"/>
      <c r="Y599" s="2"/>
      <c r="Z599" s="2"/>
      <c r="AA599" s="2"/>
      <c r="AB599" s="2"/>
      <c r="AC599" s="2"/>
      <c r="AD599" s="2"/>
      <c r="AE599" s="2"/>
    </row>
    <row r="600" spans="6:31" ht="12.5" x14ac:dyDescent="0.25">
      <c r="F600" s="2"/>
      <c r="I600" s="2"/>
      <c r="J600" s="2"/>
      <c r="M600" s="2"/>
      <c r="N600" s="2"/>
      <c r="W600" s="2"/>
      <c r="X600" s="2"/>
      <c r="Y600" s="2"/>
      <c r="Z600" s="2"/>
      <c r="AA600" s="2"/>
      <c r="AB600" s="2"/>
      <c r="AC600" s="2"/>
      <c r="AD600" s="2"/>
      <c r="AE600" s="2"/>
    </row>
    <row r="601" spans="6:31" ht="12.5" x14ac:dyDescent="0.25">
      <c r="F601" s="2"/>
      <c r="I601" s="2"/>
      <c r="J601" s="2"/>
      <c r="M601" s="2"/>
      <c r="N601" s="2"/>
      <c r="W601" s="2"/>
      <c r="X601" s="2"/>
      <c r="Y601" s="2"/>
      <c r="Z601" s="2"/>
      <c r="AA601" s="2"/>
      <c r="AB601" s="2"/>
      <c r="AC601" s="2"/>
      <c r="AD601" s="2"/>
      <c r="AE601" s="2"/>
    </row>
    <row r="602" spans="6:31" ht="12.5" x14ac:dyDescent="0.25">
      <c r="F602" s="2"/>
      <c r="I602" s="2"/>
      <c r="J602" s="2"/>
      <c r="M602" s="2"/>
      <c r="N602" s="2"/>
      <c r="W602" s="2"/>
      <c r="X602" s="2"/>
      <c r="Y602" s="2"/>
      <c r="Z602" s="2"/>
      <c r="AA602" s="2"/>
      <c r="AB602" s="2"/>
      <c r="AC602" s="2"/>
      <c r="AD602" s="2"/>
      <c r="AE602" s="2"/>
    </row>
    <row r="603" spans="6:31" ht="12.5" x14ac:dyDescent="0.25">
      <c r="F603" s="2"/>
      <c r="I603" s="2"/>
      <c r="J603" s="2"/>
      <c r="M603" s="2"/>
      <c r="N603" s="2"/>
      <c r="W603" s="2"/>
      <c r="X603" s="2"/>
      <c r="Y603" s="2"/>
      <c r="Z603" s="2"/>
      <c r="AA603" s="2"/>
      <c r="AB603" s="2"/>
      <c r="AC603" s="2"/>
      <c r="AD603" s="2"/>
      <c r="AE603" s="2"/>
    </row>
    <row r="604" spans="6:31" ht="12.5" x14ac:dyDescent="0.25">
      <c r="F604" s="2"/>
      <c r="I604" s="2"/>
      <c r="J604" s="2"/>
      <c r="M604" s="2"/>
      <c r="N604" s="2"/>
      <c r="W604" s="2"/>
      <c r="X604" s="2"/>
      <c r="Y604" s="2"/>
      <c r="Z604" s="2"/>
      <c r="AA604" s="2"/>
      <c r="AB604" s="2"/>
      <c r="AC604" s="2"/>
      <c r="AD604" s="2"/>
      <c r="AE604" s="2"/>
    </row>
    <row r="605" spans="6:31" ht="12.5" x14ac:dyDescent="0.25">
      <c r="F605" s="2"/>
      <c r="I605" s="2"/>
      <c r="J605" s="2"/>
      <c r="M605" s="2"/>
      <c r="N605" s="2"/>
      <c r="W605" s="2"/>
      <c r="X605" s="2"/>
      <c r="Y605" s="2"/>
      <c r="Z605" s="2"/>
      <c r="AA605" s="2"/>
      <c r="AB605" s="2"/>
      <c r="AC605" s="2"/>
      <c r="AD605" s="2"/>
      <c r="AE605" s="2"/>
    </row>
    <row r="606" spans="6:31" ht="12.5" x14ac:dyDescent="0.25">
      <c r="F606" s="2"/>
      <c r="I606" s="2"/>
      <c r="J606" s="2"/>
      <c r="M606" s="2"/>
      <c r="N606" s="2"/>
      <c r="W606" s="2"/>
      <c r="X606" s="2"/>
      <c r="Y606" s="2"/>
      <c r="Z606" s="2"/>
      <c r="AA606" s="2"/>
      <c r="AB606" s="2"/>
      <c r="AC606" s="2"/>
      <c r="AD606" s="2"/>
      <c r="AE606" s="2"/>
    </row>
    <row r="607" spans="6:31" ht="12.5" x14ac:dyDescent="0.25">
      <c r="F607" s="2"/>
      <c r="I607" s="2"/>
      <c r="J607" s="2"/>
      <c r="M607" s="2"/>
      <c r="N607" s="2"/>
      <c r="W607" s="2"/>
      <c r="X607" s="2"/>
      <c r="Y607" s="2"/>
      <c r="Z607" s="2"/>
      <c r="AA607" s="2"/>
      <c r="AB607" s="2"/>
      <c r="AC607" s="2"/>
      <c r="AD607" s="2"/>
      <c r="AE607" s="2"/>
    </row>
    <row r="608" spans="6:31" ht="12.5" x14ac:dyDescent="0.25">
      <c r="F608" s="2"/>
      <c r="I608" s="2"/>
      <c r="J608" s="2"/>
      <c r="M608" s="2"/>
      <c r="N608" s="2"/>
      <c r="W608" s="2"/>
      <c r="X608" s="2"/>
      <c r="Y608" s="2"/>
      <c r="Z608" s="2"/>
      <c r="AA608" s="2"/>
      <c r="AB608" s="2"/>
      <c r="AC608" s="2"/>
      <c r="AD608" s="2"/>
      <c r="AE608" s="2"/>
    </row>
    <row r="609" spans="6:31" ht="12.5" x14ac:dyDescent="0.25">
      <c r="F609" s="2"/>
      <c r="I609" s="2"/>
      <c r="J609" s="2"/>
      <c r="M609" s="2"/>
      <c r="N609" s="2"/>
      <c r="W609" s="2"/>
      <c r="X609" s="2"/>
      <c r="Y609" s="2"/>
      <c r="Z609" s="2"/>
      <c r="AA609" s="2"/>
      <c r="AB609" s="2"/>
      <c r="AC609" s="2"/>
      <c r="AD609" s="2"/>
      <c r="AE609" s="2"/>
    </row>
    <row r="610" spans="6:31" ht="12.5" x14ac:dyDescent="0.25">
      <c r="F610" s="2"/>
      <c r="I610" s="2"/>
      <c r="J610" s="2"/>
      <c r="M610" s="2"/>
      <c r="N610" s="2"/>
      <c r="W610" s="2"/>
      <c r="X610" s="2"/>
      <c r="Y610" s="2"/>
      <c r="Z610" s="2"/>
      <c r="AA610" s="2"/>
      <c r="AB610" s="2"/>
      <c r="AC610" s="2"/>
      <c r="AD610" s="2"/>
      <c r="AE610" s="2"/>
    </row>
    <row r="611" spans="6:31" ht="12.5" x14ac:dyDescent="0.25">
      <c r="F611" s="2"/>
      <c r="I611" s="2"/>
      <c r="J611" s="2"/>
      <c r="M611" s="2"/>
      <c r="N611" s="2"/>
      <c r="W611" s="2"/>
      <c r="X611" s="2"/>
      <c r="Y611" s="2"/>
      <c r="Z611" s="2"/>
      <c r="AA611" s="2"/>
      <c r="AB611" s="2"/>
      <c r="AC611" s="2"/>
      <c r="AD611" s="2"/>
      <c r="AE611" s="2"/>
    </row>
    <row r="612" spans="6:31" ht="12.5" x14ac:dyDescent="0.25">
      <c r="F612" s="2"/>
      <c r="I612" s="2"/>
      <c r="J612" s="2"/>
      <c r="M612" s="2"/>
      <c r="N612" s="2"/>
      <c r="W612" s="2"/>
      <c r="X612" s="2"/>
      <c r="Y612" s="2"/>
      <c r="Z612" s="2"/>
      <c r="AA612" s="2"/>
      <c r="AB612" s="2"/>
      <c r="AC612" s="2"/>
      <c r="AD612" s="2"/>
      <c r="AE612" s="2"/>
    </row>
    <row r="613" spans="6:31" ht="12.5" x14ac:dyDescent="0.25">
      <c r="F613" s="2"/>
      <c r="I613" s="2"/>
      <c r="J613" s="2"/>
      <c r="M613" s="2"/>
      <c r="N613" s="2"/>
      <c r="W613" s="2"/>
      <c r="X613" s="2"/>
      <c r="Y613" s="2"/>
      <c r="Z613" s="2"/>
      <c r="AA613" s="2"/>
      <c r="AB613" s="2"/>
      <c r="AC613" s="2"/>
      <c r="AD613" s="2"/>
      <c r="AE613" s="2"/>
    </row>
    <row r="614" spans="6:31" ht="12.5" x14ac:dyDescent="0.25">
      <c r="F614" s="2"/>
      <c r="I614" s="2"/>
      <c r="J614" s="2"/>
      <c r="M614" s="2"/>
      <c r="N614" s="2"/>
      <c r="W614" s="2"/>
      <c r="X614" s="2"/>
      <c r="Y614" s="2"/>
      <c r="Z614" s="2"/>
      <c r="AA614" s="2"/>
      <c r="AB614" s="2"/>
      <c r="AC614" s="2"/>
      <c r="AD614" s="2"/>
      <c r="AE614" s="2"/>
    </row>
    <row r="615" spans="6:31" ht="12.5" x14ac:dyDescent="0.25">
      <c r="F615" s="2"/>
      <c r="I615" s="2"/>
      <c r="J615" s="2"/>
      <c r="M615" s="2"/>
      <c r="N615" s="2"/>
      <c r="W615" s="2"/>
      <c r="X615" s="2"/>
      <c r="Y615" s="2"/>
      <c r="Z615" s="2"/>
      <c r="AA615" s="2"/>
      <c r="AB615" s="2"/>
      <c r="AC615" s="2"/>
      <c r="AD615" s="2"/>
      <c r="AE615" s="2"/>
    </row>
    <row r="616" spans="6:31" ht="12.5" x14ac:dyDescent="0.25">
      <c r="F616" s="2"/>
      <c r="I616" s="2"/>
      <c r="J616" s="2"/>
      <c r="M616" s="2"/>
      <c r="N616" s="2"/>
      <c r="W616" s="2"/>
      <c r="X616" s="2"/>
      <c r="Y616" s="2"/>
      <c r="Z616" s="2"/>
      <c r="AA616" s="2"/>
      <c r="AB616" s="2"/>
      <c r="AC616" s="2"/>
      <c r="AD616" s="2"/>
      <c r="AE616" s="2"/>
    </row>
    <row r="617" spans="6:31" ht="12.5" x14ac:dyDescent="0.25">
      <c r="F617" s="2"/>
      <c r="I617" s="2"/>
      <c r="J617" s="2"/>
      <c r="M617" s="2"/>
      <c r="N617" s="2"/>
      <c r="W617" s="2"/>
      <c r="X617" s="2"/>
      <c r="Y617" s="2"/>
      <c r="Z617" s="2"/>
      <c r="AA617" s="2"/>
      <c r="AB617" s="2"/>
      <c r="AC617" s="2"/>
      <c r="AD617" s="2"/>
      <c r="AE617" s="2"/>
    </row>
    <row r="618" spans="6:31" ht="12.5" x14ac:dyDescent="0.25">
      <c r="F618" s="2"/>
      <c r="I618" s="2"/>
      <c r="J618" s="2"/>
      <c r="M618" s="2"/>
      <c r="N618" s="2"/>
      <c r="W618" s="2"/>
      <c r="X618" s="2"/>
      <c r="Y618" s="2"/>
      <c r="Z618" s="2"/>
      <c r="AA618" s="2"/>
      <c r="AB618" s="2"/>
      <c r="AC618" s="2"/>
      <c r="AD618" s="2"/>
      <c r="AE618" s="2"/>
    </row>
    <row r="619" spans="6:31" ht="12.5" x14ac:dyDescent="0.25">
      <c r="F619" s="2"/>
      <c r="I619" s="2"/>
      <c r="J619" s="2"/>
      <c r="M619" s="2"/>
      <c r="N619" s="2"/>
      <c r="W619" s="2"/>
      <c r="X619" s="2"/>
      <c r="Y619" s="2"/>
      <c r="Z619" s="2"/>
      <c r="AA619" s="2"/>
      <c r="AB619" s="2"/>
      <c r="AC619" s="2"/>
      <c r="AD619" s="2"/>
      <c r="AE619" s="2"/>
    </row>
    <row r="620" spans="6:31" ht="12.5" x14ac:dyDescent="0.25">
      <c r="F620" s="2"/>
      <c r="I620" s="2"/>
      <c r="J620" s="2"/>
      <c r="M620" s="2"/>
      <c r="N620" s="2"/>
      <c r="W620" s="2"/>
      <c r="X620" s="2"/>
      <c r="Y620" s="2"/>
      <c r="Z620" s="2"/>
      <c r="AA620" s="2"/>
      <c r="AB620" s="2"/>
      <c r="AC620" s="2"/>
      <c r="AD620" s="2"/>
      <c r="AE620" s="2"/>
    </row>
    <row r="621" spans="6:31" ht="12.5" x14ac:dyDescent="0.25">
      <c r="F621" s="2"/>
      <c r="I621" s="2"/>
      <c r="J621" s="2"/>
      <c r="M621" s="2"/>
      <c r="N621" s="2"/>
      <c r="W621" s="2"/>
      <c r="X621" s="2"/>
      <c r="Y621" s="2"/>
      <c r="Z621" s="2"/>
      <c r="AA621" s="2"/>
      <c r="AB621" s="2"/>
      <c r="AC621" s="2"/>
      <c r="AD621" s="2"/>
      <c r="AE621" s="2"/>
    </row>
    <row r="622" spans="6:31" ht="12.5" x14ac:dyDescent="0.25">
      <c r="F622" s="2"/>
      <c r="I622" s="2"/>
      <c r="J622" s="2"/>
      <c r="M622" s="2"/>
      <c r="N622" s="2"/>
      <c r="W622" s="2"/>
      <c r="X622" s="2"/>
      <c r="Y622" s="2"/>
      <c r="Z622" s="2"/>
      <c r="AA622" s="2"/>
      <c r="AB622" s="2"/>
      <c r="AC622" s="2"/>
      <c r="AD622" s="2"/>
      <c r="AE622" s="2"/>
    </row>
    <row r="623" spans="6:31" ht="12.5" x14ac:dyDescent="0.25">
      <c r="F623" s="2"/>
      <c r="I623" s="2"/>
      <c r="J623" s="2"/>
      <c r="M623" s="2"/>
      <c r="N623" s="2"/>
      <c r="W623" s="2"/>
      <c r="X623" s="2"/>
      <c r="Y623" s="2"/>
      <c r="Z623" s="2"/>
      <c r="AA623" s="2"/>
      <c r="AB623" s="2"/>
      <c r="AC623" s="2"/>
      <c r="AD623" s="2"/>
      <c r="AE623" s="2"/>
    </row>
    <row r="624" spans="6:31" ht="12.5" x14ac:dyDescent="0.25">
      <c r="F624" s="2"/>
      <c r="I624" s="2"/>
      <c r="J624" s="2"/>
      <c r="M624" s="2"/>
      <c r="N624" s="2"/>
      <c r="W624" s="2"/>
      <c r="X624" s="2"/>
      <c r="Y624" s="2"/>
      <c r="Z624" s="2"/>
      <c r="AA624" s="2"/>
      <c r="AB624" s="2"/>
      <c r="AC624" s="2"/>
      <c r="AD624" s="2"/>
      <c r="AE624" s="2"/>
    </row>
    <row r="625" spans="6:31" ht="12.5" x14ac:dyDescent="0.25">
      <c r="F625" s="2"/>
      <c r="I625" s="2"/>
      <c r="J625" s="2"/>
      <c r="M625" s="2"/>
      <c r="N625" s="2"/>
      <c r="W625" s="2"/>
      <c r="X625" s="2"/>
      <c r="Y625" s="2"/>
      <c r="Z625" s="2"/>
      <c r="AA625" s="2"/>
      <c r="AB625" s="2"/>
      <c r="AC625" s="2"/>
      <c r="AD625" s="2"/>
      <c r="AE625" s="2"/>
    </row>
    <row r="626" spans="6:31" ht="12.5" x14ac:dyDescent="0.25">
      <c r="F626" s="2"/>
      <c r="I626" s="2"/>
      <c r="J626" s="2"/>
      <c r="M626" s="2"/>
      <c r="N626" s="2"/>
      <c r="W626" s="2"/>
      <c r="X626" s="2"/>
      <c r="Y626" s="2"/>
      <c r="Z626" s="2"/>
      <c r="AA626" s="2"/>
      <c r="AB626" s="2"/>
      <c r="AC626" s="2"/>
      <c r="AD626" s="2"/>
      <c r="AE626" s="2"/>
    </row>
    <row r="627" spans="6:31" ht="12.5" x14ac:dyDescent="0.25">
      <c r="F627" s="2"/>
      <c r="I627" s="2"/>
      <c r="J627" s="2"/>
      <c r="M627" s="2"/>
      <c r="N627" s="2"/>
      <c r="W627" s="2"/>
      <c r="X627" s="2"/>
      <c r="Y627" s="2"/>
      <c r="Z627" s="2"/>
      <c r="AA627" s="2"/>
      <c r="AB627" s="2"/>
      <c r="AC627" s="2"/>
      <c r="AD627" s="2"/>
      <c r="AE627" s="2"/>
    </row>
    <row r="628" spans="6:31" ht="12.5" x14ac:dyDescent="0.25">
      <c r="F628" s="2"/>
      <c r="I628" s="2"/>
      <c r="J628" s="2"/>
      <c r="M628" s="2"/>
      <c r="N628" s="2"/>
      <c r="W628" s="2"/>
      <c r="X628" s="2"/>
      <c r="Y628" s="2"/>
      <c r="Z628" s="2"/>
      <c r="AA628" s="2"/>
      <c r="AB628" s="2"/>
      <c r="AC628" s="2"/>
      <c r="AD628" s="2"/>
      <c r="AE628" s="2"/>
    </row>
    <row r="629" spans="6:31" ht="12.5" x14ac:dyDescent="0.25">
      <c r="F629" s="2"/>
      <c r="I629" s="2"/>
      <c r="J629" s="2"/>
      <c r="M629" s="2"/>
      <c r="N629" s="2"/>
      <c r="W629" s="2"/>
      <c r="X629" s="2"/>
      <c r="Y629" s="2"/>
      <c r="Z629" s="2"/>
      <c r="AA629" s="2"/>
      <c r="AB629" s="2"/>
      <c r="AC629" s="2"/>
      <c r="AD629" s="2"/>
      <c r="AE629" s="2"/>
    </row>
    <row r="630" spans="6:31" ht="12.5" x14ac:dyDescent="0.25">
      <c r="F630" s="2"/>
      <c r="I630" s="2"/>
      <c r="J630" s="2"/>
      <c r="M630" s="2"/>
      <c r="N630" s="2"/>
      <c r="W630" s="2"/>
      <c r="X630" s="2"/>
      <c r="Y630" s="2"/>
      <c r="Z630" s="2"/>
      <c r="AA630" s="2"/>
      <c r="AB630" s="2"/>
      <c r="AC630" s="2"/>
      <c r="AD630" s="2"/>
      <c r="AE630" s="2"/>
    </row>
    <row r="631" spans="6:31" ht="12.5" x14ac:dyDescent="0.25">
      <c r="F631" s="2"/>
      <c r="I631" s="2"/>
      <c r="J631" s="2"/>
      <c r="M631" s="2"/>
      <c r="N631" s="2"/>
      <c r="W631" s="2"/>
      <c r="X631" s="2"/>
      <c r="Y631" s="2"/>
      <c r="Z631" s="2"/>
      <c r="AA631" s="2"/>
      <c r="AB631" s="2"/>
      <c r="AC631" s="2"/>
      <c r="AD631" s="2"/>
      <c r="AE631" s="2"/>
    </row>
    <row r="632" spans="6:31" ht="12.5" x14ac:dyDescent="0.25">
      <c r="F632" s="2"/>
      <c r="I632" s="2"/>
      <c r="J632" s="2"/>
      <c r="M632" s="2"/>
      <c r="N632" s="2"/>
      <c r="W632" s="2"/>
      <c r="X632" s="2"/>
      <c r="Y632" s="2"/>
      <c r="Z632" s="2"/>
      <c r="AA632" s="2"/>
      <c r="AB632" s="2"/>
      <c r="AC632" s="2"/>
      <c r="AD632" s="2"/>
      <c r="AE632" s="2"/>
    </row>
    <row r="633" spans="6:31" ht="12.5" x14ac:dyDescent="0.25">
      <c r="F633" s="2"/>
      <c r="I633" s="2"/>
      <c r="J633" s="2"/>
      <c r="M633" s="2"/>
      <c r="N633" s="2"/>
      <c r="W633" s="2"/>
      <c r="X633" s="2"/>
      <c r="Y633" s="2"/>
      <c r="Z633" s="2"/>
      <c r="AA633" s="2"/>
      <c r="AB633" s="2"/>
      <c r="AC633" s="2"/>
      <c r="AD633" s="2"/>
      <c r="AE633" s="2"/>
    </row>
    <row r="634" spans="6:31" ht="12.5" x14ac:dyDescent="0.25">
      <c r="F634" s="2"/>
      <c r="I634" s="2"/>
      <c r="J634" s="2"/>
      <c r="M634" s="2"/>
      <c r="N634" s="2"/>
      <c r="W634" s="2"/>
      <c r="X634" s="2"/>
      <c r="Y634" s="2"/>
      <c r="Z634" s="2"/>
      <c r="AA634" s="2"/>
      <c r="AB634" s="2"/>
      <c r="AC634" s="2"/>
      <c r="AD634" s="2"/>
      <c r="AE634" s="2"/>
    </row>
    <row r="635" spans="6:31" ht="12.5" x14ac:dyDescent="0.25">
      <c r="F635" s="2"/>
      <c r="I635" s="2"/>
      <c r="J635" s="2"/>
      <c r="M635" s="2"/>
      <c r="N635" s="2"/>
      <c r="W635" s="2"/>
      <c r="X635" s="2"/>
      <c r="Y635" s="2"/>
      <c r="Z635" s="2"/>
      <c r="AA635" s="2"/>
      <c r="AB635" s="2"/>
      <c r="AC635" s="2"/>
      <c r="AD635" s="2"/>
      <c r="AE635" s="2"/>
    </row>
    <row r="636" spans="6:31" ht="12.5" x14ac:dyDescent="0.25">
      <c r="F636" s="2"/>
      <c r="I636" s="2"/>
      <c r="J636" s="2"/>
      <c r="M636" s="2"/>
      <c r="N636" s="2"/>
      <c r="W636" s="2"/>
      <c r="X636" s="2"/>
      <c r="Y636" s="2"/>
      <c r="Z636" s="2"/>
      <c r="AA636" s="2"/>
      <c r="AB636" s="2"/>
      <c r="AC636" s="2"/>
      <c r="AD636" s="2"/>
      <c r="AE636" s="2"/>
    </row>
    <row r="637" spans="6:31" ht="12.5" x14ac:dyDescent="0.25">
      <c r="F637" s="2"/>
      <c r="I637" s="2"/>
      <c r="J637" s="2"/>
      <c r="M637" s="2"/>
      <c r="N637" s="2"/>
      <c r="W637" s="2"/>
      <c r="X637" s="2"/>
      <c r="Y637" s="2"/>
      <c r="Z637" s="2"/>
      <c r="AA637" s="2"/>
      <c r="AB637" s="2"/>
      <c r="AC637" s="2"/>
      <c r="AD637" s="2"/>
      <c r="AE637" s="2"/>
    </row>
    <row r="638" spans="6:31" ht="12.5" x14ac:dyDescent="0.25">
      <c r="F638" s="2"/>
      <c r="I638" s="2"/>
      <c r="J638" s="2"/>
      <c r="M638" s="2"/>
      <c r="N638" s="2"/>
      <c r="W638" s="2"/>
      <c r="X638" s="2"/>
      <c r="Y638" s="2"/>
      <c r="Z638" s="2"/>
      <c r="AA638" s="2"/>
      <c r="AB638" s="2"/>
      <c r="AC638" s="2"/>
      <c r="AD638" s="2"/>
      <c r="AE638" s="2"/>
    </row>
    <row r="639" spans="6:31" ht="12.5" x14ac:dyDescent="0.25">
      <c r="F639" s="2"/>
      <c r="I639" s="2"/>
      <c r="J639" s="2"/>
      <c r="M639" s="2"/>
      <c r="N639" s="2"/>
      <c r="W639" s="2"/>
      <c r="X639" s="2"/>
      <c r="Y639" s="2"/>
      <c r="Z639" s="2"/>
      <c r="AA639" s="2"/>
      <c r="AB639" s="2"/>
      <c r="AC639" s="2"/>
      <c r="AD639" s="2"/>
      <c r="AE639" s="2"/>
    </row>
    <row r="640" spans="6:31" ht="12.5" x14ac:dyDescent="0.25">
      <c r="F640" s="2"/>
      <c r="I640" s="2"/>
      <c r="J640" s="2"/>
      <c r="M640" s="2"/>
      <c r="N640" s="2"/>
      <c r="W640" s="2"/>
      <c r="X640" s="2"/>
      <c r="Y640" s="2"/>
      <c r="Z640" s="2"/>
      <c r="AA640" s="2"/>
      <c r="AB640" s="2"/>
      <c r="AC640" s="2"/>
      <c r="AD640" s="2"/>
      <c r="AE640" s="2"/>
    </row>
    <row r="641" spans="6:31" ht="12.5" x14ac:dyDescent="0.25">
      <c r="F641" s="2"/>
      <c r="I641" s="2"/>
      <c r="J641" s="2"/>
      <c r="M641" s="2"/>
      <c r="N641" s="2"/>
      <c r="W641" s="2"/>
      <c r="X641" s="2"/>
      <c r="Y641" s="2"/>
      <c r="Z641" s="2"/>
      <c r="AA641" s="2"/>
      <c r="AB641" s="2"/>
      <c r="AC641" s="2"/>
      <c r="AD641" s="2"/>
      <c r="AE641" s="2"/>
    </row>
    <row r="642" spans="6:31" ht="12.5" x14ac:dyDescent="0.25">
      <c r="F642" s="2"/>
      <c r="I642" s="2"/>
      <c r="J642" s="2"/>
      <c r="M642" s="2"/>
      <c r="N642" s="2"/>
      <c r="W642" s="2"/>
      <c r="X642" s="2"/>
      <c r="Y642" s="2"/>
      <c r="Z642" s="2"/>
      <c r="AA642" s="2"/>
      <c r="AB642" s="2"/>
      <c r="AC642" s="2"/>
      <c r="AD642" s="2"/>
      <c r="AE642" s="2"/>
    </row>
    <row r="643" spans="6:31" ht="12.5" x14ac:dyDescent="0.25">
      <c r="F643" s="2"/>
      <c r="I643" s="2"/>
      <c r="J643" s="2"/>
      <c r="M643" s="2"/>
      <c r="N643" s="2"/>
      <c r="W643" s="2"/>
      <c r="X643" s="2"/>
      <c r="Y643" s="2"/>
      <c r="Z643" s="2"/>
      <c r="AA643" s="2"/>
      <c r="AB643" s="2"/>
      <c r="AC643" s="2"/>
      <c r="AD643" s="2"/>
      <c r="AE643" s="2"/>
    </row>
    <row r="644" spans="6:31" ht="12.5" x14ac:dyDescent="0.25">
      <c r="F644" s="2"/>
      <c r="I644" s="2"/>
      <c r="J644" s="2"/>
      <c r="M644" s="2"/>
      <c r="N644" s="2"/>
      <c r="W644" s="2"/>
      <c r="X644" s="2"/>
      <c r="Y644" s="2"/>
      <c r="Z644" s="2"/>
      <c r="AA644" s="2"/>
      <c r="AB644" s="2"/>
      <c r="AC644" s="2"/>
      <c r="AD644" s="2"/>
      <c r="AE644" s="2"/>
    </row>
    <row r="645" spans="6:31" ht="12.5" x14ac:dyDescent="0.25">
      <c r="F645" s="2"/>
      <c r="I645" s="2"/>
      <c r="J645" s="2"/>
      <c r="M645" s="2"/>
      <c r="N645" s="2"/>
      <c r="W645" s="2"/>
      <c r="X645" s="2"/>
      <c r="Y645" s="2"/>
      <c r="Z645" s="2"/>
      <c r="AA645" s="2"/>
      <c r="AB645" s="2"/>
      <c r="AC645" s="2"/>
      <c r="AD645" s="2"/>
      <c r="AE645" s="2"/>
    </row>
    <row r="646" spans="6:31" ht="12.5" x14ac:dyDescent="0.25">
      <c r="F646" s="2"/>
      <c r="I646" s="2"/>
      <c r="J646" s="2"/>
      <c r="M646" s="2"/>
      <c r="N646" s="2"/>
      <c r="W646" s="2"/>
      <c r="X646" s="2"/>
      <c r="Y646" s="2"/>
      <c r="Z646" s="2"/>
      <c r="AA646" s="2"/>
      <c r="AB646" s="2"/>
      <c r="AC646" s="2"/>
      <c r="AD646" s="2"/>
      <c r="AE646" s="2"/>
    </row>
    <row r="647" spans="6:31" ht="12.5" x14ac:dyDescent="0.25">
      <c r="F647" s="2"/>
      <c r="I647" s="2"/>
      <c r="J647" s="2"/>
      <c r="M647" s="2"/>
      <c r="N647" s="2"/>
      <c r="W647" s="2"/>
      <c r="X647" s="2"/>
      <c r="Y647" s="2"/>
      <c r="Z647" s="2"/>
      <c r="AA647" s="2"/>
      <c r="AB647" s="2"/>
      <c r="AC647" s="2"/>
      <c r="AD647" s="2"/>
      <c r="AE647" s="2"/>
    </row>
    <row r="648" spans="6:31" ht="12.5" x14ac:dyDescent="0.25">
      <c r="F648" s="2"/>
      <c r="I648" s="2"/>
      <c r="J648" s="2"/>
      <c r="M648" s="2"/>
      <c r="N648" s="2"/>
      <c r="W648" s="2"/>
      <c r="X648" s="2"/>
      <c r="Y648" s="2"/>
      <c r="Z648" s="2"/>
      <c r="AA648" s="2"/>
      <c r="AB648" s="2"/>
      <c r="AC648" s="2"/>
      <c r="AD648" s="2"/>
      <c r="AE648" s="2"/>
    </row>
    <row r="649" spans="6:31" ht="12.5" x14ac:dyDescent="0.25">
      <c r="F649" s="2"/>
      <c r="I649" s="2"/>
      <c r="J649" s="2"/>
      <c r="M649" s="2"/>
      <c r="N649" s="2"/>
      <c r="W649" s="2"/>
      <c r="X649" s="2"/>
      <c r="Y649" s="2"/>
      <c r="Z649" s="2"/>
      <c r="AA649" s="2"/>
      <c r="AB649" s="2"/>
      <c r="AC649" s="2"/>
      <c r="AD649" s="2"/>
      <c r="AE649" s="2"/>
    </row>
    <row r="650" spans="6:31" ht="12.5" x14ac:dyDescent="0.25">
      <c r="F650" s="2"/>
      <c r="I650" s="2"/>
      <c r="J650" s="2"/>
      <c r="M650" s="2"/>
      <c r="N650" s="2"/>
      <c r="W650" s="2"/>
      <c r="X650" s="2"/>
      <c r="Y650" s="2"/>
      <c r="Z650" s="2"/>
      <c r="AA650" s="2"/>
      <c r="AB650" s="2"/>
      <c r="AC650" s="2"/>
      <c r="AD650" s="2"/>
      <c r="AE650" s="2"/>
    </row>
    <row r="651" spans="6:31" ht="12.5" x14ac:dyDescent="0.25">
      <c r="F651" s="2"/>
      <c r="I651" s="2"/>
      <c r="J651" s="2"/>
      <c r="M651" s="2"/>
      <c r="N651" s="2"/>
      <c r="W651" s="2"/>
      <c r="X651" s="2"/>
      <c r="Y651" s="2"/>
      <c r="Z651" s="2"/>
      <c r="AA651" s="2"/>
      <c r="AB651" s="2"/>
      <c r="AC651" s="2"/>
      <c r="AD651" s="2"/>
      <c r="AE651" s="2"/>
    </row>
    <row r="652" spans="6:31" ht="12.5" x14ac:dyDescent="0.25">
      <c r="F652" s="2"/>
      <c r="I652" s="2"/>
      <c r="J652" s="2"/>
      <c r="M652" s="2"/>
      <c r="N652" s="2"/>
      <c r="W652" s="2"/>
      <c r="X652" s="2"/>
      <c r="Y652" s="2"/>
      <c r="Z652" s="2"/>
      <c r="AA652" s="2"/>
      <c r="AB652" s="2"/>
      <c r="AC652" s="2"/>
      <c r="AD652" s="2"/>
      <c r="AE652" s="2"/>
    </row>
    <row r="653" spans="6:31" ht="12.5" x14ac:dyDescent="0.25">
      <c r="F653" s="2"/>
      <c r="I653" s="2"/>
      <c r="J653" s="2"/>
      <c r="M653" s="2"/>
      <c r="N653" s="2"/>
      <c r="W653" s="2"/>
      <c r="X653" s="2"/>
      <c r="Y653" s="2"/>
      <c r="Z653" s="2"/>
      <c r="AA653" s="2"/>
      <c r="AB653" s="2"/>
      <c r="AC653" s="2"/>
      <c r="AD653" s="2"/>
      <c r="AE653" s="2"/>
    </row>
    <row r="654" spans="6:31" ht="12.5" x14ac:dyDescent="0.25">
      <c r="F654" s="2"/>
      <c r="I654" s="2"/>
      <c r="J654" s="2"/>
      <c r="M654" s="2"/>
      <c r="N654" s="2"/>
      <c r="W654" s="2"/>
      <c r="X654" s="2"/>
      <c r="Y654" s="2"/>
      <c r="Z654" s="2"/>
      <c r="AA654" s="2"/>
      <c r="AB654" s="2"/>
      <c r="AC654" s="2"/>
      <c r="AD654" s="2"/>
      <c r="AE654" s="2"/>
    </row>
    <row r="655" spans="6:31" ht="12.5" x14ac:dyDescent="0.25">
      <c r="F655" s="2"/>
      <c r="I655" s="2"/>
      <c r="J655" s="2"/>
      <c r="M655" s="2"/>
      <c r="N655" s="2"/>
      <c r="W655" s="2"/>
      <c r="X655" s="2"/>
      <c r="Y655" s="2"/>
      <c r="Z655" s="2"/>
      <c r="AA655" s="2"/>
      <c r="AB655" s="2"/>
      <c r="AC655" s="2"/>
      <c r="AD655" s="2"/>
      <c r="AE655" s="2"/>
    </row>
    <row r="656" spans="6:31" ht="12.5" x14ac:dyDescent="0.25">
      <c r="F656" s="2"/>
      <c r="I656" s="2"/>
      <c r="J656" s="2"/>
      <c r="M656" s="2"/>
      <c r="N656" s="2"/>
      <c r="W656" s="2"/>
      <c r="X656" s="2"/>
      <c r="Y656" s="2"/>
      <c r="Z656" s="2"/>
      <c r="AA656" s="2"/>
      <c r="AB656" s="2"/>
      <c r="AC656" s="2"/>
      <c r="AD656" s="2"/>
      <c r="AE656" s="2"/>
    </row>
    <row r="657" spans="6:31" ht="12.5" x14ac:dyDescent="0.25">
      <c r="F657" s="2"/>
      <c r="I657" s="2"/>
      <c r="J657" s="2"/>
      <c r="M657" s="2"/>
      <c r="N657" s="2"/>
      <c r="W657" s="2"/>
      <c r="X657" s="2"/>
      <c r="Y657" s="2"/>
      <c r="Z657" s="2"/>
      <c r="AA657" s="2"/>
      <c r="AB657" s="2"/>
      <c r="AC657" s="2"/>
      <c r="AD657" s="2"/>
      <c r="AE657" s="2"/>
    </row>
    <row r="658" spans="6:31" ht="12.5" x14ac:dyDescent="0.25">
      <c r="F658" s="2"/>
      <c r="I658" s="2"/>
      <c r="J658" s="2"/>
      <c r="M658" s="2"/>
      <c r="N658" s="2"/>
      <c r="W658" s="2"/>
      <c r="X658" s="2"/>
      <c r="Y658" s="2"/>
      <c r="Z658" s="2"/>
      <c r="AA658" s="2"/>
      <c r="AB658" s="2"/>
      <c r="AC658" s="2"/>
      <c r="AD658" s="2"/>
      <c r="AE658" s="2"/>
    </row>
    <row r="659" spans="6:31" ht="12.5" x14ac:dyDescent="0.25">
      <c r="F659" s="2"/>
      <c r="I659" s="2"/>
      <c r="J659" s="2"/>
      <c r="M659" s="2"/>
      <c r="N659" s="2"/>
      <c r="W659" s="2"/>
      <c r="X659" s="2"/>
      <c r="Y659" s="2"/>
      <c r="Z659" s="2"/>
      <c r="AA659" s="2"/>
      <c r="AB659" s="2"/>
      <c r="AC659" s="2"/>
      <c r="AD659" s="2"/>
      <c r="AE659" s="2"/>
    </row>
    <row r="660" spans="6:31" ht="12.5" x14ac:dyDescent="0.25">
      <c r="F660" s="2"/>
      <c r="I660" s="2"/>
      <c r="J660" s="2"/>
      <c r="M660" s="2"/>
      <c r="N660" s="2"/>
      <c r="W660" s="2"/>
      <c r="X660" s="2"/>
      <c r="Y660" s="2"/>
      <c r="Z660" s="2"/>
      <c r="AA660" s="2"/>
      <c r="AB660" s="2"/>
      <c r="AC660" s="2"/>
      <c r="AD660" s="2"/>
      <c r="AE660" s="2"/>
    </row>
    <row r="661" spans="6:31" ht="12.5" x14ac:dyDescent="0.25">
      <c r="F661" s="2"/>
      <c r="I661" s="2"/>
      <c r="J661" s="2"/>
      <c r="M661" s="2"/>
      <c r="N661" s="2"/>
      <c r="W661" s="2"/>
      <c r="X661" s="2"/>
      <c r="Y661" s="2"/>
      <c r="Z661" s="2"/>
      <c r="AA661" s="2"/>
      <c r="AB661" s="2"/>
      <c r="AC661" s="2"/>
      <c r="AD661" s="2"/>
      <c r="AE661" s="2"/>
    </row>
    <row r="662" spans="6:31" ht="12.5" x14ac:dyDescent="0.25">
      <c r="F662" s="2"/>
      <c r="I662" s="2"/>
      <c r="J662" s="2"/>
      <c r="M662" s="2"/>
      <c r="N662" s="2"/>
      <c r="W662" s="2"/>
      <c r="X662" s="2"/>
      <c r="Y662" s="2"/>
      <c r="Z662" s="2"/>
      <c r="AA662" s="2"/>
      <c r="AB662" s="2"/>
      <c r="AC662" s="2"/>
      <c r="AD662" s="2"/>
      <c r="AE662" s="2"/>
    </row>
    <row r="663" spans="6:31" ht="12.5" x14ac:dyDescent="0.25">
      <c r="F663" s="2"/>
      <c r="I663" s="2"/>
      <c r="J663" s="2"/>
      <c r="M663" s="2"/>
      <c r="N663" s="2"/>
      <c r="W663" s="2"/>
      <c r="X663" s="2"/>
      <c r="Y663" s="2"/>
      <c r="Z663" s="2"/>
      <c r="AA663" s="2"/>
      <c r="AB663" s="2"/>
      <c r="AC663" s="2"/>
      <c r="AD663" s="2"/>
      <c r="AE663" s="2"/>
    </row>
    <row r="664" spans="6:31" ht="12.5" x14ac:dyDescent="0.25">
      <c r="F664" s="2"/>
      <c r="I664" s="2"/>
      <c r="J664" s="2"/>
      <c r="M664" s="2"/>
      <c r="N664" s="2"/>
      <c r="W664" s="2"/>
      <c r="X664" s="2"/>
      <c r="Y664" s="2"/>
      <c r="Z664" s="2"/>
      <c r="AA664" s="2"/>
      <c r="AB664" s="2"/>
      <c r="AC664" s="2"/>
      <c r="AD664" s="2"/>
      <c r="AE664" s="2"/>
    </row>
    <row r="665" spans="6:31" ht="12.5" x14ac:dyDescent="0.25">
      <c r="F665" s="2"/>
      <c r="I665" s="2"/>
      <c r="J665" s="2"/>
      <c r="M665" s="2"/>
      <c r="N665" s="2"/>
      <c r="W665" s="2"/>
      <c r="X665" s="2"/>
      <c r="Y665" s="2"/>
      <c r="Z665" s="2"/>
      <c r="AA665" s="2"/>
      <c r="AB665" s="2"/>
      <c r="AC665" s="2"/>
      <c r="AD665" s="2"/>
      <c r="AE665" s="2"/>
    </row>
    <row r="666" spans="6:31" ht="12.5" x14ac:dyDescent="0.25">
      <c r="F666" s="2"/>
      <c r="I666" s="2"/>
      <c r="J666" s="2"/>
      <c r="M666" s="2"/>
      <c r="N666" s="2"/>
      <c r="W666" s="2"/>
      <c r="X666" s="2"/>
      <c r="Y666" s="2"/>
      <c r="Z666" s="2"/>
      <c r="AA666" s="2"/>
      <c r="AB666" s="2"/>
      <c r="AC666" s="2"/>
      <c r="AD666" s="2"/>
      <c r="AE666" s="2"/>
    </row>
    <row r="667" spans="6:31" ht="12.5" x14ac:dyDescent="0.25">
      <c r="F667" s="2"/>
      <c r="I667" s="2"/>
      <c r="J667" s="2"/>
      <c r="M667" s="2"/>
      <c r="N667" s="2"/>
      <c r="W667" s="2"/>
      <c r="X667" s="2"/>
      <c r="Y667" s="2"/>
      <c r="Z667" s="2"/>
      <c r="AA667" s="2"/>
      <c r="AB667" s="2"/>
      <c r="AC667" s="2"/>
      <c r="AD667" s="2"/>
      <c r="AE667" s="2"/>
    </row>
    <row r="668" spans="6:31" ht="12.5" x14ac:dyDescent="0.25">
      <c r="F668" s="2"/>
      <c r="I668" s="2"/>
      <c r="J668" s="2"/>
      <c r="M668" s="2"/>
      <c r="N668" s="2"/>
      <c r="W668" s="2"/>
      <c r="X668" s="2"/>
      <c r="Y668" s="2"/>
      <c r="Z668" s="2"/>
      <c r="AA668" s="2"/>
      <c r="AB668" s="2"/>
      <c r="AC668" s="2"/>
      <c r="AD668" s="2"/>
      <c r="AE668" s="2"/>
    </row>
    <row r="669" spans="6:31" ht="12.5" x14ac:dyDescent="0.25">
      <c r="F669" s="2"/>
      <c r="I669" s="2"/>
      <c r="J669" s="2"/>
      <c r="M669" s="2"/>
      <c r="N669" s="2"/>
      <c r="W669" s="2"/>
      <c r="X669" s="2"/>
      <c r="Y669" s="2"/>
      <c r="Z669" s="2"/>
      <c r="AA669" s="2"/>
      <c r="AB669" s="2"/>
      <c r="AC669" s="2"/>
      <c r="AD669" s="2"/>
      <c r="AE669" s="2"/>
    </row>
    <row r="670" spans="6:31" ht="12.5" x14ac:dyDescent="0.25">
      <c r="F670" s="2"/>
      <c r="I670" s="2"/>
      <c r="J670" s="2"/>
      <c r="M670" s="2"/>
      <c r="N670" s="2"/>
      <c r="W670" s="2"/>
      <c r="X670" s="2"/>
      <c r="Y670" s="2"/>
      <c r="Z670" s="2"/>
      <c r="AA670" s="2"/>
      <c r="AB670" s="2"/>
      <c r="AC670" s="2"/>
      <c r="AD670" s="2"/>
      <c r="AE670" s="2"/>
    </row>
    <row r="671" spans="6:31" ht="12.5" x14ac:dyDescent="0.25">
      <c r="F671" s="2"/>
      <c r="I671" s="2"/>
      <c r="J671" s="2"/>
      <c r="M671" s="2"/>
      <c r="N671" s="2"/>
      <c r="W671" s="2"/>
      <c r="X671" s="2"/>
      <c r="Y671" s="2"/>
      <c r="Z671" s="2"/>
      <c r="AA671" s="2"/>
      <c r="AB671" s="2"/>
      <c r="AC671" s="2"/>
      <c r="AD671" s="2"/>
      <c r="AE671" s="2"/>
    </row>
    <row r="672" spans="6:31" ht="12.5" x14ac:dyDescent="0.25">
      <c r="F672" s="2"/>
      <c r="I672" s="2"/>
      <c r="J672" s="2"/>
      <c r="M672" s="2"/>
      <c r="N672" s="2"/>
      <c r="W672" s="2"/>
      <c r="X672" s="2"/>
      <c r="Y672" s="2"/>
      <c r="Z672" s="2"/>
      <c r="AA672" s="2"/>
      <c r="AB672" s="2"/>
      <c r="AC672" s="2"/>
      <c r="AD672" s="2"/>
      <c r="AE672" s="2"/>
    </row>
    <row r="673" spans="6:31" ht="12.5" x14ac:dyDescent="0.25">
      <c r="F673" s="2"/>
      <c r="I673" s="2"/>
      <c r="J673" s="2"/>
      <c r="M673" s="2"/>
      <c r="N673" s="2"/>
      <c r="W673" s="2"/>
      <c r="X673" s="2"/>
      <c r="Y673" s="2"/>
      <c r="Z673" s="2"/>
      <c r="AA673" s="2"/>
      <c r="AB673" s="2"/>
      <c r="AC673" s="2"/>
      <c r="AD673" s="2"/>
      <c r="AE673" s="2"/>
    </row>
    <row r="674" spans="6:31" ht="12.5" x14ac:dyDescent="0.25">
      <c r="F674" s="2"/>
      <c r="I674" s="2"/>
      <c r="J674" s="2"/>
      <c r="M674" s="2"/>
      <c r="N674" s="2"/>
      <c r="W674" s="2"/>
      <c r="X674" s="2"/>
      <c r="Y674" s="2"/>
      <c r="Z674" s="2"/>
      <c r="AA674" s="2"/>
      <c r="AB674" s="2"/>
      <c r="AC674" s="2"/>
      <c r="AD674" s="2"/>
      <c r="AE674" s="2"/>
    </row>
    <row r="675" spans="6:31" ht="12.5" x14ac:dyDescent="0.25">
      <c r="F675" s="2"/>
      <c r="I675" s="2"/>
      <c r="J675" s="2"/>
      <c r="M675" s="2"/>
      <c r="N675" s="2"/>
      <c r="W675" s="2"/>
      <c r="X675" s="2"/>
      <c r="Y675" s="2"/>
      <c r="Z675" s="2"/>
      <c r="AA675" s="2"/>
      <c r="AB675" s="2"/>
      <c r="AC675" s="2"/>
      <c r="AD675" s="2"/>
      <c r="AE675" s="2"/>
    </row>
    <row r="676" spans="6:31" ht="12.5" x14ac:dyDescent="0.25">
      <c r="F676" s="2"/>
      <c r="I676" s="2"/>
      <c r="J676" s="2"/>
      <c r="M676" s="2"/>
      <c r="N676" s="2"/>
      <c r="W676" s="2"/>
      <c r="X676" s="2"/>
      <c r="Y676" s="2"/>
      <c r="Z676" s="2"/>
      <c r="AA676" s="2"/>
      <c r="AB676" s="2"/>
      <c r="AC676" s="2"/>
      <c r="AD676" s="2"/>
      <c r="AE676" s="2"/>
    </row>
    <row r="677" spans="6:31" ht="12.5" x14ac:dyDescent="0.25">
      <c r="F677" s="2"/>
      <c r="I677" s="2"/>
      <c r="J677" s="2"/>
      <c r="M677" s="2"/>
      <c r="N677" s="2"/>
      <c r="W677" s="2"/>
      <c r="X677" s="2"/>
      <c r="Y677" s="2"/>
      <c r="Z677" s="2"/>
      <c r="AA677" s="2"/>
      <c r="AB677" s="2"/>
      <c r="AC677" s="2"/>
      <c r="AD677" s="2"/>
      <c r="AE677" s="2"/>
    </row>
    <row r="678" spans="6:31" ht="12.5" x14ac:dyDescent="0.25">
      <c r="F678" s="2"/>
      <c r="I678" s="2"/>
      <c r="J678" s="2"/>
      <c r="M678" s="2"/>
      <c r="N678" s="2"/>
      <c r="W678" s="2"/>
      <c r="X678" s="2"/>
      <c r="Y678" s="2"/>
      <c r="Z678" s="2"/>
      <c r="AA678" s="2"/>
      <c r="AB678" s="2"/>
      <c r="AC678" s="2"/>
      <c r="AD678" s="2"/>
      <c r="AE678" s="2"/>
    </row>
    <row r="679" spans="6:31" ht="12.5" x14ac:dyDescent="0.25">
      <c r="F679" s="2"/>
      <c r="I679" s="2"/>
      <c r="J679" s="2"/>
      <c r="M679" s="2"/>
      <c r="N679" s="2"/>
      <c r="W679" s="2"/>
      <c r="X679" s="2"/>
      <c r="Y679" s="2"/>
      <c r="Z679" s="2"/>
      <c r="AA679" s="2"/>
      <c r="AB679" s="2"/>
      <c r="AC679" s="2"/>
      <c r="AD679" s="2"/>
      <c r="AE679" s="2"/>
    </row>
    <row r="680" spans="6:31" ht="12.5" x14ac:dyDescent="0.25">
      <c r="F680" s="2"/>
      <c r="I680" s="2"/>
      <c r="J680" s="2"/>
      <c r="M680" s="2"/>
      <c r="N680" s="2"/>
      <c r="W680" s="2"/>
      <c r="X680" s="2"/>
      <c r="Y680" s="2"/>
      <c r="Z680" s="2"/>
      <c r="AA680" s="2"/>
      <c r="AB680" s="2"/>
      <c r="AC680" s="2"/>
      <c r="AD680" s="2"/>
      <c r="AE680" s="2"/>
    </row>
    <row r="681" spans="6:31" ht="12.5" x14ac:dyDescent="0.25">
      <c r="F681" s="2"/>
      <c r="I681" s="2"/>
      <c r="J681" s="2"/>
      <c r="M681" s="2"/>
      <c r="N681" s="2"/>
      <c r="W681" s="2"/>
      <c r="X681" s="2"/>
      <c r="Y681" s="2"/>
      <c r="Z681" s="2"/>
      <c r="AA681" s="2"/>
      <c r="AB681" s="2"/>
      <c r="AC681" s="2"/>
      <c r="AD681" s="2"/>
      <c r="AE681" s="2"/>
    </row>
    <row r="682" spans="6:31" ht="12.5" x14ac:dyDescent="0.25">
      <c r="F682" s="2"/>
      <c r="I682" s="2"/>
      <c r="J682" s="2"/>
      <c r="M682" s="2"/>
      <c r="N682" s="2"/>
      <c r="W682" s="2"/>
      <c r="X682" s="2"/>
      <c r="Y682" s="2"/>
      <c r="Z682" s="2"/>
      <c r="AA682" s="2"/>
      <c r="AB682" s="2"/>
      <c r="AC682" s="2"/>
      <c r="AD682" s="2"/>
      <c r="AE682" s="2"/>
    </row>
    <row r="683" spans="6:31" ht="12.5" x14ac:dyDescent="0.25">
      <c r="F683" s="2"/>
      <c r="I683" s="2"/>
      <c r="J683" s="2"/>
      <c r="M683" s="2"/>
      <c r="N683" s="2"/>
      <c r="W683" s="2"/>
      <c r="X683" s="2"/>
      <c r="Y683" s="2"/>
      <c r="Z683" s="2"/>
      <c r="AA683" s="2"/>
      <c r="AB683" s="2"/>
      <c r="AC683" s="2"/>
      <c r="AD683" s="2"/>
      <c r="AE683" s="2"/>
    </row>
    <row r="684" spans="6:31" ht="12.5" x14ac:dyDescent="0.25">
      <c r="F684" s="2"/>
      <c r="I684" s="2"/>
      <c r="J684" s="2"/>
      <c r="M684" s="2"/>
      <c r="N684" s="2"/>
      <c r="W684" s="2"/>
      <c r="X684" s="2"/>
      <c r="Y684" s="2"/>
      <c r="Z684" s="2"/>
      <c r="AA684" s="2"/>
      <c r="AB684" s="2"/>
      <c r="AC684" s="2"/>
      <c r="AD684" s="2"/>
      <c r="AE684" s="2"/>
    </row>
    <row r="685" spans="6:31" ht="12.5" x14ac:dyDescent="0.25">
      <c r="F685" s="2"/>
      <c r="I685" s="2"/>
      <c r="J685" s="2"/>
      <c r="M685" s="2"/>
      <c r="N685" s="2"/>
      <c r="W685" s="2"/>
      <c r="X685" s="2"/>
      <c r="Y685" s="2"/>
      <c r="Z685" s="2"/>
      <c r="AA685" s="2"/>
      <c r="AB685" s="2"/>
      <c r="AC685" s="2"/>
      <c r="AD685" s="2"/>
      <c r="AE685" s="2"/>
    </row>
    <row r="686" spans="6:31" ht="12.5" x14ac:dyDescent="0.25">
      <c r="F686" s="2"/>
      <c r="I686" s="2"/>
      <c r="J686" s="2"/>
      <c r="M686" s="2"/>
      <c r="N686" s="2"/>
      <c r="W686" s="2"/>
      <c r="X686" s="2"/>
      <c r="Y686" s="2"/>
      <c r="Z686" s="2"/>
      <c r="AA686" s="2"/>
      <c r="AB686" s="2"/>
      <c r="AC686" s="2"/>
      <c r="AD686" s="2"/>
      <c r="AE686" s="2"/>
    </row>
    <row r="687" spans="6:31" ht="12.5" x14ac:dyDescent="0.25">
      <c r="F687" s="2"/>
      <c r="I687" s="2"/>
      <c r="J687" s="2"/>
      <c r="M687" s="2"/>
      <c r="N687" s="2"/>
      <c r="W687" s="2"/>
      <c r="X687" s="2"/>
      <c r="Y687" s="2"/>
      <c r="Z687" s="2"/>
      <c r="AA687" s="2"/>
      <c r="AB687" s="2"/>
      <c r="AC687" s="2"/>
      <c r="AD687" s="2"/>
      <c r="AE687" s="2"/>
    </row>
    <row r="688" spans="6:31" ht="12.5" x14ac:dyDescent="0.25">
      <c r="F688" s="2"/>
      <c r="I688" s="2"/>
      <c r="J688" s="2"/>
      <c r="M688" s="2"/>
      <c r="N688" s="2"/>
      <c r="W688" s="2"/>
      <c r="X688" s="2"/>
      <c r="Y688" s="2"/>
      <c r="Z688" s="2"/>
      <c r="AA688" s="2"/>
      <c r="AB688" s="2"/>
      <c r="AC688" s="2"/>
      <c r="AD688" s="2"/>
      <c r="AE688" s="2"/>
    </row>
    <row r="689" spans="6:31" ht="12.5" x14ac:dyDescent="0.25">
      <c r="F689" s="2"/>
      <c r="I689" s="2"/>
      <c r="J689" s="2"/>
      <c r="M689" s="2"/>
      <c r="N689" s="2"/>
      <c r="W689" s="2"/>
      <c r="X689" s="2"/>
      <c r="Y689" s="2"/>
      <c r="Z689" s="2"/>
      <c r="AA689" s="2"/>
      <c r="AB689" s="2"/>
      <c r="AC689" s="2"/>
      <c r="AD689" s="2"/>
      <c r="AE689" s="2"/>
    </row>
    <row r="690" spans="6:31" ht="12.5" x14ac:dyDescent="0.25">
      <c r="F690" s="2"/>
      <c r="I690" s="2"/>
      <c r="J690" s="2"/>
      <c r="M690" s="2"/>
      <c r="N690" s="2"/>
      <c r="W690" s="2"/>
      <c r="X690" s="2"/>
      <c r="Y690" s="2"/>
      <c r="Z690" s="2"/>
      <c r="AA690" s="2"/>
      <c r="AB690" s="2"/>
      <c r="AC690" s="2"/>
      <c r="AD690" s="2"/>
      <c r="AE690" s="2"/>
    </row>
    <row r="691" spans="6:31" ht="12.5" x14ac:dyDescent="0.25">
      <c r="F691" s="2"/>
      <c r="I691" s="2"/>
      <c r="J691" s="2"/>
      <c r="M691" s="2"/>
      <c r="N691" s="2"/>
      <c r="W691" s="2"/>
      <c r="X691" s="2"/>
      <c r="Y691" s="2"/>
      <c r="Z691" s="2"/>
      <c r="AA691" s="2"/>
      <c r="AB691" s="2"/>
      <c r="AC691" s="2"/>
      <c r="AD691" s="2"/>
      <c r="AE691" s="2"/>
    </row>
    <row r="692" spans="6:31" ht="12.5" x14ac:dyDescent="0.25">
      <c r="F692" s="2"/>
      <c r="I692" s="2"/>
      <c r="J692" s="2"/>
      <c r="M692" s="2"/>
      <c r="N692" s="2"/>
      <c r="W692" s="2"/>
      <c r="X692" s="2"/>
      <c r="Y692" s="2"/>
      <c r="Z692" s="2"/>
      <c r="AA692" s="2"/>
      <c r="AB692" s="2"/>
      <c r="AC692" s="2"/>
      <c r="AD692" s="2"/>
      <c r="AE692" s="2"/>
    </row>
    <row r="693" spans="6:31" ht="12.5" x14ac:dyDescent="0.25">
      <c r="F693" s="2"/>
      <c r="I693" s="2"/>
      <c r="J693" s="2"/>
      <c r="M693" s="2"/>
      <c r="N693" s="2"/>
      <c r="W693" s="2"/>
      <c r="X693" s="2"/>
      <c r="Y693" s="2"/>
      <c r="Z693" s="2"/>
      <c r="AA693" s="2"/>
      <c r="AB693" s="2"/>
      <c r="AC693" s="2"/>
      <c r="AD693" s="2"/>
      <c r="AE693" s="2"/>
    </row>
    <row r="694" spans="6:31" ht="12.5" x14ac:dyDescent="0.25">
      <c r="F694" s="2"/>
      <c r="I694" s="2"/>
      <c r="J694" s="2"/>
      <c r="M694" s="2"/>
      <c r="N694" s="2"/>
      <c r="W694" s="2"/>
      <c r="X694" s="2"/>
      <c r="Y694" s="2"/>
      <c r="Z694" s="2"/>
      <c r="AA694" s="2"/>
      <c r="AB694" s="2"/>
      <c r="AC694" s="2"/>
      <c r="AD694" s="2"/>
      <c r="AE694" s="2"/>
    </row>
    <row r="695" spans="6:31" ht="12.5" x14ac:dyDescent="0.25">
      <c r="F695" s="2"/>
      <c r="I695" s="2"/>
      <c r="J695" s="2"/>
      <c r="M695" s="2"/>
      <c r="N695" s="2"/>
      <c r="W695" s="2"/>
      <c r="X695" s="2"/>
      <c r="Y695" s="2"/>
      <c r="Z695" s="2"/>
      <c r="AA695" s="2"/>
      <c r="AB695" s="2"/>
      <c r="AC695" s="2"/>
      <c r="AD695" s="2"/>
      <c r="AE695" s="2"/>
    </row>
    <row r="696" spans="6:31" ht="12.5" x14ac:dyDescent="0.25">
      <c r="F696" s="2"/>
      <c r="I696" s="2"/>
      <c r="J696" s="2"/>
      <c r="M696" s="2"/>
      <c r="N696" s="2"/>
      <c r="W696" s="2"/>
      <c r="X696" s="2"/>
      <c r="Y696" s="2"/>
      <c r="Z696" s="2"/>
      <c r="AA696" s="2"/>
      <c r="AB696" s="2"/>
      <c r="AC696" s="2"/>
      <c r="AD696" s="2"/>
      <c r="AE696" s="2"/>
    </row>
    <row r="697" spans="6:31" ht="12.5" x14ac:dyDescent="0.25">
      <c r="F697" s="2"/>
      <c r="I697" s="2"/>
      <c r="J697" s="2"/>
      <c r="M697" s="2"/>
      <c r="N697" s="2"/>
      <c r="W697" s="2"/>
      <c r="X697" s="2"/>
      <c r="Y697" s="2"/>
      <c r="Z697" s="2"/>
      <c r="AA697" s="2"/>
      <c r="AB697" s="2"/>
      <c r="AC697" s="2"/>
      <c r="AD697" s="2"/>
      <c r="AE697" s="2"/>
    </row>
    <row r="698" spans="6:31" ht="12.5" x14ac:dyDescent="0.25">
      <c r="F698" s="2"/>
      <c r="I698" s="2"/>
      <c r="J698" s="2"/>
      <c r="M698" s="2"/>
      <c r="N698" s="2"/>
      <c r="W698" s="2"/>
      <c r="X698" s="2"/>
      <c r="Y698" s="2"/>
      <c r="Z698" s="2"/>
      <c r="AA698" s="2"/>
      <c r="AB698" s="2"/>
      <c r="AC698" s="2"/>
      <c r="AD698" s="2"/>
      <c r="AE698" s="2"/>
    </row>
    <row r="699" spans="6:31" ht="12.5" x14ac:dyDescent="0.25">
      <c r="F699" s="2"/>
      <c r="I699" s="2"/>
      <c r="J699" s="2"/>
      <c r="M699" s="2"/>
      <c r="N699" s="2"/>
      <c r="W699" s="2"/>
      <c r="X699" s="2"/>
      <c r="Y699" s="2"/>
      <c r="Z699" s="2"/>
      <c r="AA699" s="2"/>
      <c r="AB699" s="2"/>
      <c r="AC699" s="2"/>
      <c r="AD699" s="2"/>
      <c r="AE699" s="2"/>
    </row>
    <row r="700" spans="6:31" ht="12.5" x14ac:dyDescent="0.25">
      <c r="F700" s="2"/>
      <c r="I700" s="2"/>
      <c r="J700" s="2"/>
      <c r="M700" s="2"/>
      <c r="N700" s="2"/>
      <c r="W700" s="2"/>
      <c r="X700" s="2"/>
      <c r="Y700" s="2"/>
      <c r="Z700" s="2"/>
      <c r="AA700" s="2"/>
      <c r="AB700" s="2"/>
      <c r="AC700" s="2"/>
      <c r="AD700" s="2"/>
      <c r="AE700" s="2"/>
    </row>
    <row r="701" spans="6:31" ht="12.5" x14ac:dyDescent="0.25">
      <c r="F701" s="2"/>
      <c r="I701" s="2"/>
      <c r="J701" s="2"/>
      <c r="M701" s="2"/>
      <c r="N701" s="2"/>
      <c r="W701" s="2"/>
      <c r="X701" s="2"/>
      <c r="Y701" s="2"/>
      <c r="Z701" s="2"/>
      <c r="AA701" s="2"/>
      <c r="AB701" s="2"/>
      <c r="AC701" s="2"/>
      <c r="AD701" s="2"/>
      <c r="AE701" s="2"/>
    </row>
    <row r="702" spans="6:31" ht="12.5" x14ac:dyDescent="0.25">
      <c r="F702" s="2"/>
      <c r="I702" s="2"/>
      <c r="J702" s="2"/>
      <c r="M702" s="2"/>
      <c r="N702" s="2"/>
      <c r="W702" s="2"/>
      <c r="X702" s="2"/>
      <c r="Y702" s="2"/>
      <c r="Z702" s="2"/>
      <c r="AA702" s="2"/>
      <c r="AB702" s="2"/>
      <c r="AC702" s="2"/>
      <c r="AD702" s="2"/>
      <c r="AE702" s="2"/>
    </row>
    <row r="703" spans="6:31" ht="12.5" x14ac:dyDescent="0.25">
      <c r="F703" s="2"/>
      <c r="I703" s="2"/>
      <c r="J703" s="2"/>
      <c r="M703" s="2"/>
      <c r="N703" s="2"/>
      <c r="W703" s="2"/>
      <c r="X703" s="2"/>
      <c r="Y703" s="2"/>
      <c r="Z703" s="2"/>
      <c r="AA703" s="2"/>
      <c r="AB703" s="2"/>
      <c r="AC703" s="2"/>
      <c r="AD703" s="2"/>
      <c r="AE703" s="2"/>
    </row>
    <row r="704" spans="6:31" ht="12.5" x14ac:dyDescent="0.25">
      <c r="F704" s="2"/>
      <c r="I704" s="2"/>
      <c r="J704" s="2"/>
      <c r="M704" s="2"/>
      <c r="N704" s="2"/>
      <c r="W704" s="2"/>
      <c r="X704" s="2"/>
      <c r="Y704" s="2"/>
      <c r="Z704" s="2"/>
      <c r="AA704" s="2"/>
      <c r="AB704" s="2"/>
      <c r="AC704" s="2"/>
      <c r="AD704" s="2"/>
      <c r="AE704" s="2"/>
    </row>
    <row r="705" spans="6:31" ht="12.5" x14ac:dyDescent="0.25">
      <c r="F705" s="2"/>
      <c r="I705" s="2"/>
      <c r="J705" s="2"/>
      <c r="M705" s="2"/>
      <c r="N705" s="2"/>
      <c r="W705" s="2"/>
      <c r="X705" s="2"/>
      <c r="Y705" s="2"/>
      <c r="Z705" s="2"/>
      <c r="AA705" s="2"/>
      <c r="AB705" s="2"/>
      <c r="AC705" s="2"/>
      <c r="AD705" s="2"/>
      <c r="AE705" s="2"/>
    </row>
    <row r="706" spans="6:31" ht="12.5" x14ac:dyDescent="0.25">
      <c r="F706" s="2"/>
      <c r="I706" s="2"/>
      <c r="J706" s="2"/>
      <c r="M706" s="2"/>
      <c r="N706" s="2"/>
      <c r="W706" s="2"/>
      <c r="X706" s="2"/>
      <c r="Y706" s="2"/>
      <c r="Z706" s="2"/>
      <c r="AA706" s="2"/>
      <c r="AB706" s="2"/>
      <c r="AC706" s="2"/>
      <c r="AD706" s="2"/>
      <c r="AE706" s="2"/>
    </row>
    <row r="707" spans="6:31" ht="12.5" x14ac:dyDescent="0.25">
      <c r="F707" s="2"/>
      <c r="I707" s="2"/>
      <c r="J707" s="2"/>
      <c r="M707" s="2"/>
      <c r="N707" s="2"/>
      <c r="W707" s="2"/>
      <c r="X707" s="2"/>
      <c r="Y707" s="2"/>
      <c r="Z707" s="2"/>
      <c r="AA707" s="2"/>
      <c r="AB707" s="2"/>
      <c r="AC707" s="2"/>
      <c r="AD707" s="2"/>
      <c r="AE707" s="2"/>
    </row>
    <row r="708" spans="6:31" ht="12.5" x14ac:dyDescent="0.25">
      <c r="F708" s="2"/>
      <c r="I708" s="2"/>
      <c r="J708" s="2"/>
      <c r="M708" s="2"/>
      <c r="N708" s="2"/>
      <c r="W708" s="2"/>
      <c r="X708" s="2"/>
      <c r="Y708" s="2"/>
      <c r="Z708" s="2"/>
      <c r="AA708" s="2"/>
      <c r="AB708" s="2"/>
      <c r="AC708" s="2"/>
      <c r="AD708" s="2"/>
      <c r="AE708" s="2"/>
    </row>
    <row r="709" spans="6:31" ht="12.5" x14ac:dyDescent="0.25">
      <c r="F709" s="2"/>
      <c r="I709" s="2"/>
      <c r="J709" s="2"/>
      <c r="M709" s="2"/>
      <c r="N709" s="2"/>
      <c r="W709" s="2"/>
      <c r="X709" s="2"/>
      <c r="Y709" s="2"/>
      <c r="Z709" s="2"/>
      <c r="AA709" s="2"/>
      <c r="AB709" s="2"/>
      <c r="AC709" s="2"/>
      <c r="AD709" s="2"/>
      <c r="AE709" s="2"/>
    </row>
    <row r="710" spans="6:31" ht="12.5" x14ac:dyDescent="0.25">
      <c r="F710" s="2"/>
      <c r="I710" s="2"/>
      <c r="J710" s="2"/>
      <c r="M710" s="2"/>
      <c r="N710" s="2"/>
      <c r="W710" s="2"/>
      <c r="X710" s="2"/>
      <c r="Y710" s="2"/>
      <c r="Z710" s="2"/>
      <c r="AA710" s="2"/>
      <c r="AB710" s="2"/>
      <c r="AC710" s="2"/>
      <c r="AD710" s="2"/>
      <c r="AE710" s="2"/>
    </row>
    <row r="711" spans="6:31" ht="12.5" x14ac:dyDescent="0.25">
      <c r="F711" s="2"/>
      <c r="I711" s="2"/>
      <c r="J711" s="2"/>
      <c r="M711" s="2"/>
      <c r="N711" s="2"/>
      <c r="W711" s="2"/>
      <c r="X711" s="2"/>
      <c r="Y711" s="2"/>
      <c r="Z711" s="2"/>
      <c r="AA711" s="2"/>
      <c r="AB711" s="2"/>
      <c r="AC711" s="2"/>
      <c r="AD711" s="2"/>
      <c r="AE711" s="2"/>
    </row>
    <row r="712" spans="6:31" ht="12.5" x14ac:dyDescent="0.25">
      <c r="F712" s="2"/>
      <c r="I712" s="2"/>
      <c r="J712" s="2"/>
      <c r="M712" s="2"/>
      <c r="N712" s="2"/>
      <c r="W712" s="2"/>
      <c r="X712" s="2"/>
      <c r="Y712" s="2"/>
      <c r="Z712" s="2"/>
      <c r="AA712" s="2"/>
      <c r="AB712" s="2"/>
      <c r="AC712" s="2"/>
      <c r="AD712" s="2"/>
      <c r="AE712" s="2"/>
    </row>
    <row r="713" spans="6:31" ht="12.5" x14ac:dyDescent="0.25">
      <c r="F713" s="2"/>
      <c r="I713" s="2"/>
      <c r="J713" s="2"/>
      <c r="M713" s="2"/>
      <c r="N713" s="2"/>
      <c r="W713" s="2"/>
      <c r="X713" s="2"/>
      <c r="Y713" s="2"/>
      <c r="Z713" s="2"/>
      <c r="AA713" s="2"/>
      <c r="AB713" s="2"/>
      <c r="AC713" s="2"/>
      <c r="AD713" s="2"/>
      <c r="AE713" s="2"/>
    </row>
    <row r="714" spans="6:31" ht="12.5" x14ac:dyDescent="0.25">
      <c r="F714" s="2"/>
      <c r="I714" s="2"/>
      <c r="J714" s="2"/>
      <c r="M714" s="2"/>
      <c r="N714" s="2"/>
      <c r="W714" s="2"/>
      <c r="X714" s="2"/>
      <c r="Y714" s="2"/>
      <c r="Z714" s="2"/>
      <c r="AA714" s="2"/>
      <c r="AB714" s="2"/>
      <c r="AC714" s="2"/>
      <c r="AD714" s="2"/>
      <c r="AE714" s="2"/>
    </row>
    <row r="715" spans="6:31" ht="12.5" x14ac:dyDescent="0.25">
      <c r="F715" s="2"/>
      <c r="I715" s="2"/>
      <c r="J715" s="2"/>
      <c r="M715" s="2"/>
      <c r="N715" s="2"/>
      <c r="W715" s="2"/>
      <c r="X715" s="2"/>
      <c r="Y715" s="2"/>
      <c r="Z715" s="2"/>
      <c r="AA715" s="2"/>
      <c r="AB715" s="2"/>
      <c r="AC715" s="2"/>
      <c r="AD715" s="2"/>
      <c r="AE715" s="2"/>
    </row>
    <row r="716" spans="6:31" ht="12.5" x14ac:dyDescent="0.25">
      <c r="F716" s="2"/>
      <c r="I716" s="2"/>
      <c r="J716" s="2"/>
      <c r="M716" s="2"/>
      <c r="N716" s="2"/>
      <c r="W716" s="2"/>
      <c r="X716" s="2"/>
      <c r="Y716" s="2"/>
      <c r="Z716" s="2"/>
      <c r="AA716" s="2"/>
      <c r="AB716" s="2"/>
      <c r="AC716" s="2"/>
      <c r="AD716" s="2"/>
      <c r="AE716" s="2"/>
    </row>
    <row r="717" spans="6:31" ht="12.5" x14ac:dyDescent="0.25">
      <c r="F717" s="2"/>
      <c r="I717" s="2"/>
      <c r="J717" s="2"/>
      <c r="M717" s="2"/>
      <c r="N717" s="2"/>
      <c r="W717" s="2"/>
      <c r="X717" s="2"/>
      <c r="Y717" s="2"/>
      <c r="Z717" s="2"/>
      <c r="AA717" s="2"/>
      <c r="AB717" s="2"/>
      <c r="AC717" s="2"/>
      <c r="AD717" s="2"/>
      <c r="AE717" s="2"/>
    </row>
    <row r="718" spans="6:31" ht="12.5" x14ac:dyDescent="0.25">
      <c r="F718" s="2"/>
      <c r="I718" s="2"/>
      <c r="J718" s="2"/>
      <c r="M718" s="2"/>
      <c r="N718" s="2"/>
      <c r="W718" s="2"/>
      <c r="X718" s="2"/>
      <c r="Y718" s="2"/>
      <c r="Z718" s="2"/>
      <c r="AA718" s="2"/>
      <c r="AB718" s="2"/>
      <c r="AC718" s="2"/>
      <c r="AD718" s="2"/>
      <c r="AE718" s="2"/>
    </row>
    <row r="719" spans="6:31" ht="12.5" x14ac:dyDescent="0.25">
      <c r="F719" s="2"/>
      <c r="I719" s="2"/>
      <c r="J719" s="2"/>
      <c r="M719" s="2"/>
      <c r="N719" s="2"/>
      <c r="W719" s="2"/>
      <c r="X719" s="2"/>
      <c r="Y719" s="2"/>
      <c r="Z719" s="2"/>
      <c r="AA719" s="2"/>
      <c r="AB719" s="2"/>
      <c r="AC719" s="2"/>
      <c r="AD719" s="2"/>
      <c r="AE719" s="2"/>
    </row>
    <row r="720" spans="6:31" ht="12.5" x14ac:dyDescent="0.25">
      <c r="F720" s="2"/>
      <c r="I720" s="2"/>
      <c r="J720" s="2"/>
      <c r="M720" s="2"/>
      <c r="N720" s="2"/>
      <c r="W720" s="2"/>
      <c r="X720" s="2"/>
      <c r="Y720" s="2"/>
      <c r="Z720" s="2"/>
      <c r="AA720" s="2"/>
      <c r="AB720" s="2"/>
      <c r="AC720" s="2"/>
      <c r="AD720" s="2"/>
      <c r="AE720" s="2"/>
    </row>
    <row r="721" spans="6:31" ht="12.5" x14ac:dyDescent="0.25">
      <c r="F721" s="2"/>
      <c r="I721" s="2"/>
      <c r="J721" s="2"/>
      <c r="M721" s="2"/>
      <c r="N721" s="2"/>
      <c r="W721" s="2"/>
      <c r="X721" s="2"/>
      <c r="Y721" s="2"/>
      <c r="Z721" s="2"/>
      <c r="AA721" s="2"/>
      <c r="AB721" s="2"/>
      <c r="AC721" s="2"/>
      <c r="AD721" s="2"/>
      <c r="AE721" s="2"/>
    </row>
    <row r="722" spans="6:31" ht="12.5" x14ac:dyDescent="0.25">
      <c r="F722" s="2"/>
      <c r="I722" s="2"/>
      <c r="J722" s="2"/>
      <c r="M722" s="2"/>
      <c r="N722" s="2"/>
      <c r="W722" s="2"/>
      <c r="X722" s="2"/>
      <c r="Y722" s="2"/>
      <c r="Z722" s="2"/>
      <c r="AA722" s="2"/>
      <c r="AB722" s="2"/>
      <c r="AC722" s="2"/>
      <c r="AD722" s="2"/>
      <c r="AE722" s="2"/>
    </row>
    <row r="723" spans="6:31" ht="12.5" x14ac:dyDescent="0.25">
      <c r="F723" s="2"/>
      <c r="I723" s="2"/>
      <c r="J723" s="2"/>
      <c r="M723" s="2"/>
      <c r="N723" s="2"/>
      <c r="W723" s="2"/>
      <c r="X723" s="2"/>
      <c r="Y723" s="2"/>
      <c r="Z723" s="2"/>
      <c r="AA723" s="2"/>
      <c r="AB723" s="2"/>
      <c r="AC723" s="2"/>
      <c r="AD723" s="2"/>
      <c r="AE723" s="2"/>
    </row>
    <row r="724" spans="6:31" ht="12.5" x14ac:dyDescent="0.25">
      <c r="F724" s="2"/>
      <c r="I724" s="2"/>
      <c r="J724" s="2"/>
      <c r="M724" s="2"/>
      <c r="N724" s="2"/>
      <c r="W724" s="2"/>
      <c r="X724" s="2"/>
      <c r="Y724" s="2"/>
      <c r="Z724" s="2"/>
      <c r="AA724" s="2"/>
      <c r="AB724" s="2"/>
      <c r="AC724" s="2"/>
      <c r="AD724" s="2"/>
      <c r="AE724" s="2"/>
    </row>
    <row r="725" spans="6:31" ht="12.5" x14ac:dyDescent="0.25">
      <c r="F725" s="2"/>
      <c r="I725" s="2"/>
      <c r="J725" s="2"/>
      <c r="M725" s="2"/>
      <c r="N725" s="2"/>
      <c r="W725" s="2"/>
      <c r="X725" s="2"/>
      <c r="Y725" s="2"/>
      <c r="Z725" s="2"/>
      <c r="AA725" s="2"/>
      <c r="AB725" s="2"/>
      <c r="AC725" s="2"/>
      <c r="AD725" s="2"/>
      <c r="AE725" s="2"/>
    </row>
    <row r="726" spans="6:31" ht="12.5" x14ac:dyDescent="0.25">
      <c r="F726" s="2"/>
      <c r="I726" s="2"/>
      <c r="J726" s="2"/>
      <c r="M726" s="2"/>
      <c r="N726" s="2"/>
      <c r="W726" s="2"/>
      <c r="X726" s="2"/>
      <c r="Y726" s="2"/>
      <c r="Z726" s="2"/>
      <c r="AA726" s="2"/>
      <c r="AB726" s="2"/>
      <c r="AC726" s="2"/>
      <c r="AD726" s="2"/>
      <c r="AE726" s="2"/>
    </row>
    <row r="727" spans="6:31" ht="12.5" x14ac:dyDescent="0.25">
      <c r="F727" s="2"/>
      <c r="I727" s="2"/>
      <c r="J727" s="2"/>
      <c r="M727" s="2"/>
      <c r="N727" s="2"/>
      <c r="W727" s="2"/>
      <c r="X727" s="2"/>
      <c r="Y727" s="2"/>
      <c r="Z727" s="2"/>
      <c r="AA727" s="2"/>
      <c r="AB727" s="2"/>
      <c r="AC727" s="2"/>
      <c r="AD727" s="2"/>
      <c r="AE727" s="2"/>
    </row>
    <row r="728" spans="6:31" ht="12.5" x14ac:dyDescent="0.25">
      <c r="F728" s="2"/>
      <c r="I728" s="2"/>
      <c r="J728" s="2"/>
      <c r="M728" s="2"/>
      <c r="N728" s="2"/>
      <c r="W728" s="2"/>
      <c r="X728" s="2"/>
      <c r="Y728" s="2"/>
      <c r="Z728" s="2"/>
      <c r="AA728" s="2"/>
      <c r="AB728" s="2"/>
      <c r="AC728" s="2"/>
      <c r="AD728" s="2"/>
      <c r="AE728" s="2"/>
    </row>
    <row r="729" spans="6:31" ht="12.5" x14ac:dyDescent="0.25">
      <c r="F729" s="2"/>
      <c r="I729" s="2"/>
      <c r="J729" s="2"/>
      <c r="M729" s="2"/>
      <c r="N729" s="2"/>
      <c r="W729" s="2"/>
      <c r="X729" s="2"/>
      <c r="Y729" s="2"/>
      <c r="Z729" s="2"/>
      <c r="AA729" s="2"/>
      <c r="AB729" s="2"/>
      <c r="AC729" s="2"/>
      <c r="AD729" s="2"/>
      <c r="AE729" s="2"/>
    </row>
    <row r="730" spans="6:31" ht="12.5" x14ac:dyDescent="0.25">
      <c r="F730" s="2"/>
      <c r="I730" s="2"/>
      <c r="J730" s="2"/>
      <c r="M730" s="2"/>
      <c r="N730" s="2"/>
      <c r="W730" s="2"/>
      <c r="X730" s="2"/>
      <c r="Y730" s="2"/>
      <c r="Z730" s="2"/>
      <c r="AA730" s="2"/>
      <c r="AB730" s="2"/>
      <c r="AC730" s="2"/>
      <c r="AD730" s="2"/>
      <c r="AE730" s="2"/>
    </row>
    <row r="731" spans="6:31" ht="12.5" x14ac:dyDescent="0.25">
      <c r="F731" s="2"/>
      <c r="I731" s="2"/>
      <c r="J731" s="2"/>
      <c r="M731" s="2"/>
      <c r="N731" s="2"/>
      <c r="W731" s="2"/>
      <c r="X731" s="2"/>
      <c r="Y731" s="2"/>
      <c r="Z731" s="2"/>
      <c r="AA731" s="2"/>
      <c r="AB731" s="2"/>
      <c r="AC731" s="2"/>
      <c r="AD731" s="2"/>
      <c r="AE731" s="2"/>
    </row>
    <row r="732" spans="6:31" ht="12.5" x14ac:dyDescent="0.25">
      <c r="F732" s="2"/>
      <c r="I732" s="2"/>
      <c r="J732" s="2"/>
      <c r="M732" s="2"/>
      <c r="N732" s="2"/>
      <c r="W732" s="2"/>
      <c r="X732" s="2"/>
      <c r="Y732" s="2"/>
      <c r="Z732" s="2"/>
      <c r="AA732" s="2"/>
      <c r="AB732" s="2"/>
      <c r="AC732" s="2"/>
      <c r="AD732" s="2"/>
      <c r="AE732" s="2"/>
    </row>
    <row r="733" spans="6:31" ht="12.5" x14ac:dyDescent="0.25">
      <c r="F733" s="2"/>
      <c r="I733" s="2"/>
      <c r="J733" s="2"/>
      <c r="M733" s="2"/>
      <c r="N733" s="2"/>
      <c r="W733" s="2"/>
      <c r="X733" s="2"/>
      <c r="Y733" s="2"/>
      <c r="Z733" s="2"/>
      <c r="AA733" s="2"/>
      <c r="AB733" s="2"/>
      <c r="AC733" s="2"/>
      <c r="AD733" s="2"/>
      <c r="AE733" s="2"/>
    </row>
    <row r="734" spans="6:31" ht="12.5" x14ac:dyDescent="0.25">
      <c r="F734" s="2"/>
      <c r="I734" s="2"/>
      <c r="J734" s="2"/>
      <c r="M734" s="2"/>
      <c r="N734" s="2"/>
      <c r="W734" s="2"/>
      <c r="X734" s="2"/>
      <c r="Y734" s="2"/>
      <c r="Z734" s="2"/>
      <c r="AA734" s="2"/>
      <c r="AB734" s="2"/>
      <c r="AC734" s="2"/>
      <c r="AD734" s="2"/>
      <c r="AE734" s="2"/>
    </row>
    <row r="735" spans="6:31" ht="12.5" x14ac:dyDescent="0.25">
      <c r="F735" s="2"/>
      <c r="I735" s="2"/>
      <c r="J735" s="2"/>
      <c r="M735" s="2"/>
      <c r="N735" s="2"/>
      <c r="W735" s="2"/>
      <c r="X735" s="2"/>
      <c r="Y735" s="2"/>
      <c r="Z735" s="2"/>
      <c r="AA735" s="2"/>
      <c r="AB735" s="2"/>
      <c r="AC735" s="2"/>
      <c r="AD735" s="2"/>
      <c r="AE735" s="2"/>
    </row>
    <row r="736" spans="6:31" ht="12.5" x14ac:dyDescent="0.25">
      <c r="F736" s="2"/>
      <c r="I736" s="2"/>
      <c r="J736" s="2"/>
      <c r="M736" s="2"/>
      <c r="N736" s="2"/>
      <c r="W736" s="2"/>
      <c r="X736" s="2"/>
      <c r="Y736" s="2"/>
      <c r="Z736" s="2"/>
      <c r="AA736" s="2"/>
      <c r="AB736" s="2"/>
      <c r="AC736" s="2"/>
      <c r="AD736" s="2"/>
      <c r="AE736" s="2"/>
    </row>
    <row r="737" spans="6:31" ht="12.5" x14ac:dyDescent="0.25">
      <c r="F737" s="2"/>
      <c r="I737" s="2"/>
      <c r="J737" s="2"/>
      <c r="M737" s="2"/>
      <c r="N737" s="2"/>
      <c r="W737" s="2"/>
      <c r="X737" s="2"/>
      <c r="Y737" s="2"/>
      <c r="Z737" s="2"/>
      <c r="AA737" s="2"/>
      <c r="AB737" s="2"/>
      <c r="AC737" s="2"/>
      <c r="AD737" s="2"/>
      <c r="AE737" s="2"/>
    </row>
    <row r="738" spans="6:31" ht="12.5" x14ac:dyDescent="0.25">
      <c r="F738" s="2"/>
      <c r="I738" s="2"/>
      <c r="J738" s="2"/>
      <c r="M738" s="2"/>
      <c r="N738" s="2"/>
      <c r="W738" s="2"/>
      <c r="X738" s="2"/>
      <c r="Y738" s="2"/>
      <c r="Z738" s="2"/>
      <c r="AA738" s="2"/>
      <c r="AB738" s="2"/>
      <c r="AC738" s="2"/>
      <c r="AD738" s="2"/>
      <c r="AE738" s="2"/>
    </row>
    <row r="739" spans="6:31" ht="12.5" x14ac:dyDescent="0.25">
      <c r="F739" s="2"/>
      <c r="I739" s="2"/>
      <c r="J739" s="2"/>
      <c r="M739" s="2"/>
      <c r="N739" s="2"/>
      <c r="W739" s="2"/>
      <c r="X739" s="2"/>
      <c r="Y739" s="2"/>
      <c r="Z739" s="2"/>
      <c r="AA739" s="2"/>
      <c r="AB739" s="2"/>
      <c r="AC739" s="2"/>
      <c r="AD739" s="2"/>
      <c r="AE739" s="2"/>
    </row>
    <row r="740" spans="6:31" ht="12.5" x14ac:dyDescent="0.25">
      <c r="F740" s="2"/>
      <c r="I740" s="2"/>
      <c r="J740" s="2"/>
      <c r="M740" s="2"/>
      <c r="N740" s="2"/>
      <c r="W740" s="2"/>
      <c r="X740" s="2"/>
      <c r="Y740" s="2"/>
      <c r="Z740" s="2"/>
      <c r="AA740" s="2"/>
      <c r="AB740" s="2"/>
      <c r="AC740" s="2"/>
      <c r="AD740" s="2"/>
      <c r="AE740" s="2"/>
    </row>
    <row r="741" spans="6:31" ht="12.5" x14ac:dyDescent="0.25">
      <c r="F741" s="2"/>
      <c r="I741" s="2"/>
      <c r="J741" s="2"/>
      <c r="M741" s="2"/>
      <c r="N741" s="2"/>
      <c r="W741" s="2"/>
      <c r="X741" s="2"/>
      <c r="Y741" s="2"/>
      <c r="Z741" s="2"/>
      <c r="AA741" s="2"/>
      <c r="AB741" s="2"/>
      <c r="AC741" s="2"/>
      <c r="AD741" s="2"/>
      <c r="AE741" s="2"/>
    </row>
    <row r="742" spans="6:31" ht="12.5" x14ac:dyDescent="0.25">
      <c r="F742" s="2"/>
      <c r="I742" s="2"/>
      <c r="J742" s="2"/>
      <c r="M742" s="2"/>
      <c r="N742" s="2"/>
      <c r="W742" s="2"/>
      <c r="X742" s="2"/>
      <c r="Y742" s="2"/>
      <c r="Z742" s="2"/>
      <c r="AA742" s="2"/>
      <c r="AB742" s="2"/>
      <c r="AC742" s="2"/>
      <c r="AD742" s="2"/>
      <c r="AE742" s="2"/>
    </row>
    <row r="743" spans="6:31" ht="12.5" x14ac:dyDescent="0.25">
      <c r="F743" s="2"/>
      <c r="I743" s="2"/>
      <c r="J743" s="2"/>
      <c r="M743" s="2"/>
      <c r="N743" s="2"/>
      <c r="W743" s="2"/>
      <c r="X743" s="2"/>
      <c r="Y743" s="2"/>
      <c r="Z743" s="2"/>
      <c r="AA743" s="2"/>
      <c r="AB743" s="2"/>
      <c r="AC743" s="2"/>
      <c r="AD743" s="2"/>
      <c r="AE743" s="2"/>
    </row>
    <row r="744" spans="6:31" ht="12.5" x14ac:dyDescent="0.25">
      <c r="F744" s="2"/>
      <c r="I744" s="2"/>
      <c r="J744" s="2"/>
      <c r="M744" s="2"/>
      <c r="N744" s="2"/>
      <c r="W744" s="2"/>
      <c r="X744" s="2"/>
      <c r="Y744" s="2"/>
      <c r="Z744" s="2"/>
      <c r="AA744" s="2"/>
      <c r="AB744" s="2"/>
      <c r="AC744" s="2"/>
      <c r="AD744" s="2"/>
      <c r="AE744" s="2"/>
    </row>
    <row r="745" spans="6:31" ht="12.5" x14ac:dyDescent="0.25">
      <c r="F745" s="2"/>
      <c r="I745" s="2"/>
      <c r="J745" s="2"/>
      <c r="M745" s="2"/>
      <c r="N745" s="2"/>
      <c r="W745" s="2"/>
      <c r="X745" s="2"/>
      <c r="Y745" s="2"/>
      <c r="Z745" s="2"/>
      <c r="AA745" s="2"/>
      <c r="AB745" s="2"/>
      <c r="AC745" s="2"/>
      <c r="AD745" s="2"/>
      <c r="AE745" s="2"/>
    </row>
    <row r="746" spans="6:31" ht="12.5" x14ac:dyDescent="0.25">
      <c r="F746" s="2"/>
      <c r="I746" s="2"/>
      <c r="J746" s="2"/>
      <c r="M746" s="2"/>
      <c r="N746" s="2"/>
      <c r="W746" s="2"/>
      <c r="X746" s="2"/>
      <c r="Y746" s="2"/>
      <c r="Z746" s="2"/>
      <c r="AA746" s="2"/>
      <c r="AB746" s="2"/>
      <c r="AC746" s="2"/>
      <c r="AD746" s="2"/>
      <c r="AE746" s="2"/>
    </row>
    <row r="747" spans="6:31" ht="12.5" x14ac:dyDescent="0.25">
      <c r="F747" s="2"/>
      <c r="I747" s="2"/>
      <c r="J747" s="2"/>
      <c r="M747" s="2"/>
      <c r="N747" s="2"/>
      <c r="W747" s="2"/>
      <c r="X747" s="2"/>
      <c r="Y747" s="2"/>
      <c r="Z747" s="2"/>
      <c r="AA747" s="2"/>
      <c r="AB747" s="2"/>
      <c r="AC747" s="2"/>
      <c r="AD747" s="2"/>
      <c r="AE747" s="2"/>
    </row>
    <row r="748" spans="6:31" ht="12.5" x14ac:dyDescent="0.25">
      <c r="F748" s="2"/>
      <c r="I748" s="2"/>
      <c r="J748" s="2"/>
      <c r="M748" s="2"/>
      <c r="N748" s="2"/>
      <c r="W748" s="2"/>
      <c r="X748" s="2"/>
      <c r="Y748" s="2"/>
      <c r="Z748" s="2"/>
      <c r="AA748" s="2"/>
      <c r="AB748" s="2"/>
      <c r="AC748" s="2"/>
      <c r="AD748" s="2"/>
      <c r="AE748" s="2"/>
    </row>
    <row r="749" spans="6:31" ht="12.5" x14ac:dyDescent="0.25">
      <c r="F749" s="2"/>
      <c r="I749" s="2"/>
      <c r="J749" s="2"/>
      <c r="M749" s="2"/>
      <c r="N749" s="2"/>
      <c r="W749" s="2"/>
      <c r="X749" s="2"/>
      <c r="Y749" s="2"/>
      <c r="Z749" s="2"/>
      <c r="AA749" s="2"/>
      <c r="AB749" s="2"/>
      <c r="AC749" s="2"/>
      <c r="AD749" s="2"/>
      <c r="AE749" s="2"/>
    </row>
    <row r="750" spans="6:31" ht="12.5" x14ac:dyDescent="0.25">
      <c r="F750" s="2"/>
      <c r="I750" s="2"/>
      <c r="J750" s="2"/>
      <c r="M750" s="2"/>
      <c r="N750" s="2"/>
      <c r="W750" s="2"/>
      <c r="X750" s="2"/>
      <c r="Y750" s="2"/>
      <c r="Z750" s="2"/>
      <c r="AA750" s="2"/>
      <c r="AB750" s="2"/>
      <c r="AC750" s="2"/>
      <c r="AD750" s="2"/>
      <c r="AE750" s="2"/>
    </row>
    <row r="751" spans="6:31" ht="12.5" x14ac:dyDescent="0.25">
      <c r="F751" s="2"/>
      <c r="I751" s="2"/>
      <c r="J751" s="2"/>
      <c r="M751" s="2"/>
      <c r="N751" s="2"/>
      <c r="W751" s="2"/>
      <c r="X751" s="2"/>
      <c r="Y751" s="2"/>
      <c r="Z751" s="2"/>
      <c r="AA751" s="2"/>
      <c r="AB751" s="2"/>
      <c r="AC751" s="2"/>
      <c r="AD751" s="2"/>
      <c r="AE751" s="2"/>
    </row>
    <row r="752" spans="6:31" ht="12.5" x14ac:dyDescent="0.25">
      <c r="F752" s="2"/>
      <c r="I752" s="2"/>
      <c r="J752" s="2"/>
      <c r="M752" s="2"/>
      <c r="N752" s="2"/>
      <c r="W752" s="2"/>
      <c r="X752" s="2"/>
      <c r="Y752" s="2"/>
      <c r="Z752" s="2"/>
      <c r="AA752" s="2"/>
      <c r="AB752" s="2"/>
      <c r="AC752" s="2"/>
      <c r="AD752" s="2"/>
      <c r="AE752" s="2"/>
    </row>
    <row r="753" spans="6:31" ht="12.5" x14ac:dyDescent="0.25">
      <c r="F753" s="2"/>
      <c r="I753" s="2"/>
      <c r="J753" s="2"/>
      <c r="M753" s="2"/>
      <c r="N753" s="2"/>
      <c r="W753" s="2"/>
      <c r="X753" s="2"/>
      <c r="Y753" s="2"/>
      <c r="Z753" s="2"/>
      <c r="AA753" s="2"/>
      <c r="AB753" s="2"/>
      <c r="AC753" s="2"/>
      <c r="AD753" s="2"/>
      <c r="AE753" s="2"/>
    </row>
    <row r="754" spans="6:31" ht="12.5" x14ac:dyDescent="0.25">
      <c r="F754" s="2"/>
      <c r="I754" s="2"/>
      <c r="J754" s="2"/>
      <c r="M754" s="2"/>
      <c r="N754" s="2"/>
      <c r="W754" s="2"/>
      <c r="X754" s="2"/>
      <c r="Y754" s="2"/>
      <c r="Z754" s="2"/>
      <c r="AA754" s="2"/>
      <c r="AB754" s="2"/>
      <c r="AC754" s="2"/>
      <c r="AD754" s="2"/>
      <c r="AE754" s="2"/>
    </row>
    <row r="755" spans="6:31" ht="12.5" x14ac:dyDescent="0.25">
      <c r="F755" s="2"/>
      <c r="I755" s="2"/>
      <c r="J755" s="2"/>
      <c r="M755" s="2"/>
      <c r="N755" s="2"/>
      <c r="W755" s="2"/>
      <c r="X755" s="2"/>
      <c r="Y755" s="2"/>
      <c r="Z755" s="2"/>
      <c r="AA755" s="2"/>
      <c r="AB755" s="2"/>
      <c r="AC755" s="2"/>
      <c r="AD755" s="2"/>
      <c r="AE755" s="2"/>
    </row>
    <row r="756" spans="6:31" ht="12.5" x14ac:dyDescent="0.25">
      <c r="F756" s="2"/>
      <c r="I756" s="2"/>
      <c r="J756" s="2"/>
      <c r="M756" s="2"/>
      <c r="N756" s="2"/>
      <c r="W756" s="2"/>
      <c r="X756" s="2"/>
      <c r="Y756" s="2"/>
      <c r="Z756" s="2"/>
      <c r="AA756" s="2"/>
      <c r="AB756" s="2"/>
      <c r="AC756" s="2"/>
      <c r="AD756" s="2"/>
      <c r="AE756" s="2"/>
    </row>
    <row r="757" spans="6:31" ht="12.5" x14ac:dyDescent="0.25">
      <c r="F757" s="2"/>
      <c r="I757" s="2"/>
      <c r="J757" s="2"/>
      <c r="M757" s="2"/>
      <c r="N757" s="2"/>
      <c r="W757" s="2"/>
      <c r="X757" s="2"/>
      <c r="Y757" s="2"/>
      <c r="Z757" s="2"/>
      <c r="AA757" s="2"/>
      <c r="AB757" s="2"/>
      <c r="AC757" s="2"/>
      <c r="AD757" s="2"/>
      <c r="AE757" s="2"/>
    </row>
    <row r="758" spans="6:31" ht="12.5" x14ac:dyDescent="0.25">
      <c r="F758" s="2"/>
      <c r="I758" s="2"/>
      <c r="J758" s="2"/>
      <c r="M758" s="2"/>
      <c r="N758" s="2"/>
      <c r="W758" s="2"/>
      <c r="X758" s="2"/>
      <c r="Y758" s="2"/>
      <c r="Z758" s="2"/>
      <c r="AA758" s="2"/>
      <c r="AB758" s="2"/>
      <c r="AC758" s="2"/>
      <c r="AD758" s="2"/>
      <c r="AE758" s="2"/>
    </row>
    <row r="759" spans="6:31" ht="12.5" x14ac:dyDescent="0.25">
      <c r="F759" s="2"/>
      <c r="I759" s="2"/>
      <c r="J759" s="2"/>
      <c r="M759" s="2"/>
      <c r="N759" s="2"/>
      <c r="W759" s="2"/>
      <c r="X759" s="2"/>
      <c r="Y759" s="2"/>
      <c r="Z759" s="2"/>
      <c r="AA759" s="2"/>
      <c r="AB759" s="2"/>
      <c r="AC759" s="2"/>
      <c r="AD759" s="2"/>
      <c r="AE759" s="2"/>
    </row>
    <row r="760" spans="6:31" ht="12.5" x14ac:dyDescent="0.25">
      <c r="F760" s="2"/>
      <c r="I760" s="2"/>
      <c r="J760" s="2"/>
      <c r="M760" s="2"/>
      <c r="N760" s="2"/>
      <c r="W760" s="2"/>
      <c r="X760" s="2"/>
      <c r="Y760" s="2"/>
      <c r="Z760" s="2"/>
      <c r="AA760" s="2"/>
      <c r="AB760" s="2"/>
      <c r="AC760" s="2"/>
      <c r="AD760" s="2"/>
      <c r="AE760" s="2"/>
    </row>
    <row r="761" spans="6:31" ht="12.5" x14ac:dyDescent="0.25">
      <c r="F761" s="2"/>
      <c r="I761" s="2"/>
      <c r="J761" s="2"/>
      <c r="M761" s="2"/>
      <c r="N761" s="2"/>
      <c r="W761" s="2"/>
      <c r="X761" s="2"/>
      <c r="Y761" s="2"/>
      <c r="Z761" s="2"/>
      <c r="AA761" s="2"/>
      <c r="AB761" s="2"/>
      <c r="AC761" s="2"/>
      <c r="AD761" s="2"/>
      <c r="AE761" s="2"/>
    </row>
    <row r="762" spans="6:31" ht="12.5" x14ac:dyDescent="0.25">
      <c r="F762" s="2"/>
      <c r="I762" s="2"/>
      <c r="J762" s="2"/>
      <c r="M762" s="2"/>
      <c r="N762" s="2"/>
      <c r="W762" s="2"/>
      <c r="X762" s="2"/>
      <c r="Y762" s="2"/>
      <c r="Z762" s="2"/>
      <c r="AA762" s="2"/>
      <c r="AB762" s="2"/>
      <c r="AC762" s="2"/>
      <c r="AD762" s="2"/>
      <c r="AE762" s="2"/>
    </row>
    <row r="763" spans="6:31" ht="12.5" x14ac:dyDescent="0.25">
      <c r="F763" s="2"/>
      <c r="I763" s="2"/>
      <c r="J763" s="2"/>
      <c r="M763" s="2"/>
      <c r="N763" s="2"/>
      <c r="W763" s="2"/>
      <c r="X763" s="2"/>
      <c r="Y763" s="2"/>
      <c r="Z763" s="2"/>
      <c r="AA763" s="2"/>
      <c r="AB763" s="2"/>
      <c r="AC763" s="2"/>
      <c r="AD763" s="2"/>
      <c r="AE763" s="2"/>
    </row>
    <row r="764" spans="6:31" ht="12.5" x14ac:dyDescent="0.25">
      <c r="F764" s="2"/>
      <c r="I764" s="2"/>
      <c r="J764" s="2"/>
      <c r="M764" s="2"/>
      <c r="N764" s="2"/>
      <c r="W764" s="2"/>
      <c r="X764" s="2"/>
      <c r="Y764" s="2"/>
      <c r="Z764" s="2"/>
      <c r="AA764" s="2"/>
      <c r="AB764" s="2"/>
      <c r="AC764" s="2"/>
      <c r="AD764" s="2"/>
      <c r="AE764" s="2"/>
    </row>
    <row r="765" spans="6:31" ht="12.5" x14ac:dyDescent="0.25">
      <c r="F765" s="2"/>
      <c r="I765" s="2"/>
      <c r="J765" s="2"/>
      <c r="M765" s="2"/>
      <c r="N765" s="2"/>
      <c r="W765" s="2"/>
      <c r="X765" s="2"/>
      <c r="Y765" s="2"/>
      <c r="Z765" s="2"/>
      <c r="AA765" s="2"/>
      <c r="AB765" s="2"/>
      <c r="AC765" s="2"/>
      <c r="AD765" s="2"/>
      <c r="AE765" s="2"/>
    </row>
    <row r="766" spans="6:31" ht="12.5" x14ac:dyDescent="0.25">
      <c r="F766" s="2"/>
      <c r="I766" s="2"/>
      <c r="J766" s="2"/>
      <c r="M766" s="2"/>
      <c r="N766" s="2"/>
      <c r="W766" s="2"/>
      <c r="X766" s="2"/>
      <c r="Y766" s="2"/>
      <c r="Z766" s="2"/>
      <c r="AA766" s="2"/>
      <c r="AB766" s="2"/>
      <c r="AC766" s="2"/>
      <c r="AD766" s="2"/>
      <c r="AE766" s="2"/>
    </row>
    <row r="767" spans="6:31" ht="12.5" x14ac:dyDescent="0.25">
      <c r="F767" s="2"/>
      <c r="I767" s="2"/>
      <c r="J767" s="2"/>
      <c r="M767" s="2"/>
      <c r="N767" s="2"/>
      <c r="W767" s="2"/>
      <c r="X767" s="2"/>
      <c r="Y767" s="2"/>
      <c r="Z767" s="2"/>
      <c r="AA767" s="2"/>
      <c r="AB767" s="2"/>
      <c r="AC767" s="2"/>
      <c r="AD767" s="2"/>
      <c r="AE767" s="2"/>
    </row>
    <row r="768" spans="6:31" ht="12.5" x14ac:dyDescent="0.25">
      <c r="F768" s="2"/>
      <c r="I768" s="2"/>
      <c r="J768" s="2"/>
      <c r="M768" s="2"/>
      <c r="N768" s="2"/>
      <c r="W768" s="2"/>
      <c r="X768" s="2"/>
      <c r="Y768" s="2"/>
      <c r="Z768" s="2"/>
      <c r="AA768" s="2"/>
      <c r="AB768" s="2"/>
      <c r="AC768" s="2"/>
      <c r="AD768" s="2"/>
      <c r="AE768" s="2"/>
    </row>
    <row r="769" spans="6:31" ht="12.5" x14ac:dyDescent="0.25">
      <c r="F769" s="2"/>
      <c r="I769" s="2"/>
      <c r="J769" s="2"/>
      <c r="M769" s="2"/>
      <c r="N769" s="2"/>
      <c r="W769" s="2"/>
      <c r="X769" s="2"/>
      <c r="Y769" s="2"/>
      <c r="Z769" s="2"/>
      <c r="AA769" s="2"/>
      <c r="AB769" s="2"/>
      <c r="AC769" s="2"/>
      <c r="AD769" s="2"/>
      <c r="AE769" s="2"/>
    </row>
    <row r="770" spans="6:31" ht="12.5" x14ac:dyDescent="0.25">
      <c r="F770" s="2"/>
      <c r="I770" s="2"/>
      <c r="J770" s="2"/>
      <c r="M770" s="2"/>
      <c r="N770" s="2"/>
      <c r="W770" s="2"/>
      <c r="X770" s="2"/>
      <c r="Y770" s="2"/>
      <c r="Z770" s="2"/>
      <c r="AA770" s="2"/>
      <c r="AB770" s="2"/>
      <c r="AC770" s="2"/>
      <c r="AD770" s="2"/>
      <c r="AE770" s="2"/>
    </row>
    <row r="771" spans="6:31" ht="12.5" x14ac:dyDescent="0.25">
      <c r="F771" s="2"/>
      <c r="I771" s="2"/>
      <c r="J771" s="2"/>
      <c r="M771" s="2"/>
      <c r="N771" s="2"/>
      <c r="W771" s="2"/>
      <c r="X771" s="2"/>
      <c r="Y771" s="2"/>
      <c r="Z771" s="2"/>
      <c r="AA771" s="2"/>
      <c r="AB771" s="2"/>
      <c r="AC771" s="2"/>
      <c r="AD771" s="2"/>
      <c r="AE771" s="2"/>
    </row>
    <row r="772" spans="6:31" ht="12.5" x14ac:dyDescent="0.25">
      <c r="F772" s="2"/>
      <c r="I772" s="2"/>
      <c r="J772" s="2"/>
      <c r="M772" s="2"/>
      <c r="N772" s="2"/>
      <c r="W772" s="2"/>
      <c r="X772" s="2"/>
      <c r="Y772" s="2"/>
      <c r="Z772" s="2"/>
      <c r="AA772" s="2"/>
      <c r="AB772" s="2"/>
      <c r="AC772" s="2"/>
      <c r="AD772" s="2"/>
      <c r="AE772" s="2"/>
    </row>
    <row r="773" spans="6:31" ht="12.5" x14ac:dyDescent="0.25">
      <c r="F773" s="2"/>
      <c r="I773" s="2"/>
      <c r="J773" s="2"/>
      <c r="M773" s="2"/>
      <c r="N773" s="2"/>
      <c r="W773" s="2"/>
      <c r="X773" s="2"/>
      <c r="Y773" s="2"/>
      <c r="Z773" s="2"/>
      <c r="AA773" s="2"/>
      <c r="AB773" s="2"/>
      <c r="AC773" s="2"/>
      <c r="AD773" s="2"/>
      <c r="AE773" s="2"/>
    </row>
    <row r="774" spans="6:31" ht="12.5" x14ac:dyDescent="0.25">
      <c r="F774" s="2"/>
      <c r="I774" s="2"/>
      <c r="J774" s="2"/>
      <c r="M774" s="2"/>
      <c r="N774" s="2"/>
      <c r="W774" s="2"/>
      <c r="X774" s="2"/>
      <c r="Y774" s="2"/>
      <c r="Z774" s="2"/>
      <c r="AA774" s="2"/>
      <c r="AB774" s="2"/>
      <c r="AC774" s="2"/>
      <c r="AD774" s="2"/>
      <c r="AE774" s="2"/>
    </row>
    <row r="775" spans="6:31" ht="12.5" x14ac:dyDescent="0.25">
      <c r="F775" s="2"/>
      <c r="I775" s="2"/>
      <c r="J775" s="2"/>
      <c r="M775" s="2"/>
      <c r="N775" s="2"/>
      <c r="W775" s="2"/>
      <c r="X775" s="2"/>
      <c r="Y775" s="2"/>
      <c r="Z775" s="2"/>
      <c r="AA775" s="2"/>
      <c r="AB775" s="2"/>
      <c r="AC775" s="2"/>
      <c r="AD775" s="2"/>
      <c r="AE775" s="2"/>
    </row>
    <row r="776" spans="6:31" ht="12.5" x14ac:dyDescent="0.25">
      <c r="F776" s="2"/>
      <c r="I776" s="2"/>
      <c r="J776" s="2"/>
      <c r="M776" s="2"/>
      <c r="N776" s="2"/>
      <c r="W776" s="2"/>
      <c r="X776" s="2"/>
      <c r="Y776" s="2"/>
      <c r="Z776" s="2"/>
      <c r="AA776" s="2"/>
      <c r="AB776" s="2"/>
      <c r="AC776" s="2"/>
      <c r="AD776" s="2"/>
      <c r="AE776" s="2"/>
    </row>
    <row r="777" spans="6:31" ht="12.5" x14ac:dyDescent="0.25">
      <c r="F777" s="2"/>
      <c r="I777" s="2"/>
      <c r="J777" s="2"/>
      <c r="M777" s="2"/>
      <c r="N777" s="2"/>
      <c r="W777" s="2"/>
      <c r="X777" s="2"/>
      <c r="Y777" s="2"/>
      <c r="Z777" s="2"/>
      <c r="AA777" s="2"/>
      <c r="AB777" s="2"/>
      <c r="AC777" s="2"/>
      <c r="AD777" s="2"/>
      <c r="AE777" s="2"/>
    </row>
    <row r="778" spans="6:31" ht="12.5" x14ac:dyDescent="0.25">
      <c r="F778" s="2"/>
      <c r="I778" s="2"/>
      <c r="J778" s="2"/>
      <c r="M778" s="2"/>
      <c r="N778" s="2"/>
      <c r="W778" s="2"/>
      <c r="X778" s="2"/>
      <c r="Y778" s="2"/>
      <c r="Z778" s="2"/>
      <c r="AA778" s="2"/>
      <c r="AB778" s="2"/>
      <c r="AC778" s="2"/>
      <c r="AD778" s="2"/>
      <c r="AE778" s="2"/>
    </row>
    <row r="779" spans="6:31" ht="12.5" x14ac:dyDescent="0.25">
      <c r="F779" s="2"/>
      <c r="I779" s="2"/>
      <c r="J779" s="2"/>
      <c r="M779" s="2"/>
      <c r="N779" s="2"/>
      <c r="W779" s="2"/>
      <c r="X779" s="2"/>
      <c r="Y779" s="2"/>
      <c r="Z779" s="2"/>
      <c r="AA779" s="2"/>
      <c r="AB779" s="2"/>
      <c r="AC779" s="2"/>
      <c r="AD779" s="2"/>
      <c r="AE779" s="2"/>
    </row>
    <row r="780" spans="6:31" ht="12.5" x14ac:dyDescent="0.25">
      <c r="F780" s="2"/>
      <c r="I780" s="2"/>
      <c r="J780" s="2"/>
      <c r="M780" s="2"/>
      <c r="N780" s="2"/>
      <c r="W780" s="2"/>
      <c r="X780" s="2"/>
      <c r="Y780" s="2"/>
      <c r="Z780" s="2"/>
      <c r="AA780" s="2"/>
      <c r="AB780" s="2"/>
      <c r="AC780" s="2"/>
      <c r="AD780" s="2"/>
      <c r="AE780" s="2"/>
    </row>
    <row r="781" spans="6:31" ht="12.5" x14ac:dyDescent="0.25">
      <c r="F781" s="2"/>
      <c r="I781" s="2"/>
      <c r="J781" s="2"/>
      <c r="M781" s="2"/>
      <c r="N781" s="2"/>
      <c r="W781" s="2"/>
      <c r="X781" s="2"/>
      <c r="Y781" s="2"/>
      <c r="Z781" s="2"/>
      <c r="AA781" s="2"/>
      <c r="AB781" s="2"/>
      <c r="AC781" s="2"/>
      <c r="AD781" s="2"/>
      <c r="AE781" s="2"/>
    </row>
    <row r="782" spans="6:31" ht="12.5" x14ac:dyDescent="0.25">
      <c r="F782" s="2"/>
      <c r="I782" s="2"/>
      <c r="J782" s="2"/>
      <c r="M782" s="2"/>
      <c r="N782" s="2"/>
      <c r="W782" s="2"/>
      <c r="X782" s="2"/>
      <c r="Y782" s="2"/>
      <c r="Z782" s="2"/>
      <c r="AA782" s="2"/>
      <c r="AB782" s="2"/>
      <c r="AC782" s="2"/>
      <c r="AD782" s="2"/>
      <c r="AE782" s="2"/>
    </row>
    <row r="783" spans="6:31" ht="12.5" x14ac:dyDescent="0.25">
      <c r="F783" s="2"/>
      <c r="I783" s="2"/>
      <c r="J783" s="2"/>
      <c r="M783" s="2"/>
      <c r="N783" s="2"/>
      <c r="W783" s="2"/>
      <c r="X783" s="2"/>
      <c r="Y783" s="2"/>
      <c r="Z783" s="2"/>
      <c r="AA783" s="2"/>
      <c r="AB783" s="2"/>
      <c r="AC783" s="2"/>
      <c r="AD783" s="2"/>
      <c r="AE783" s="2"/>
    </row>
    <row r="784" spans="6:31" ht="12.5" x14ac:dyDescent="0.25">
      <c r="F784" s="2"/>
      <c r="I784" s="2"/>
      <c r="J784" s="2"/>
      <c r="M784" s="2"/>
      <c r="N784" s="2"/>
      <c r="W784" s="2"/>
      <c r="X784" s="2"/>
      <c r="Y784" s="2"/>
      <c r="Z784" s="2"/>
      <c r="AA784" s="2"/>
      <c r="AB784" s="2"/>
      <c r="AC784" s="2"/>
      <c r="AD784" s="2"/>
      <c r="AE784" s="2"/>
    </row>
    <row r="785" spans="6:31" ht="12.5" x14ac:dyDescent="0.25">
      <c r="F785" s="2"/>
      <c r="I785" s="2"/>
      <c r="J785" s="2"/>
      <c r="M785" s="2"/>
      <c r="N785" s="2"/>
      <c r="W785" s="2"/>
      <c r="X785" s="2"/>
      <c r="Y785" s="2"/>
      <c r="Z785" s="2"/>
      <c r="AA785" s="2"/>
      <c r="AB785" s="2"/>
      <c r="AC785" s="2"/>
      <c r="AD785" s="2"/>
      <c r="AE785" s="2"/>
    </row>
    <row r="786" spans="6:31" ht="12.5" x14ac:dyDescent="0.25">
      <c r="F786" s="2"/>
      <c r="I786" s="2"/>
      <c r="J786" s="2"/>
      <c r="M786" s="2"/>
      <c r="N786" s="2"/>
      <c r="W786" s="2"/>
      <c r="X786" s="2"/>
      <c r="Y786" s="2"/>
      <c r="Z786" s="2"/>
      <c r="AA786" s="2"/>
      <c r="AB786" s="2"/>
      <c r="AC786" s="2"/>
      <c r="AD786" s="2"/>
      <c r="AE786" s="2"/>
    </row>
    <row r="787" spans="6:31" ht="12.5" x14ac:dyDescent="0.25">
      <c r="F787" s="2"/>
      <c r="I787" s="2"/>
      <c r="J787" s="2"/>
      <c r="M787" s="2"/>
      <c r="N787" s="2"/>
      <c r="W787" s="2"/>
      <c r="X787" s="2"/>
      <c r="Y787" s="2"/>
      <c r="Z787" s="2"/>
      <c r="AA787" s="2"/>
      <c r="AB787" s="2"/>
      <c r="AC787" s="2"/>
      <c r="AD787" s="2"/>
      <c r="AE787" s="2"/>
    </row>
    <row r="788" spans="6:31" ht="12.5" x14ac:dyDescent="0.25">
      <c r="F788" s="2"/>
      <c r="I788" s="2"/>
      <c r="J788" s="2"/>
      <c r="M788" s="2"/>
      <c r="N788" s="2"/>
      <c r="W788" s="2"/>
      <c r="X788" s="2"/>
      <c r="Y788" s="2"/>
      <c r="Z788" s="2"/>
      <c r="AA788" s="2"/>
      <c r="AB788" s="2"/>
      <c r="AC788" s="2"/>
      <c r="AD788" s="2"/>
      <c r="AE788" s="2"/>
    </row>
    <row r="789" spans="6:31" ht="12.5" x14ac:dyDescent="0.25">
      <c r="F789" s="2"/>
      <c r="I789" s="2"/>
      <c r="J789" s="2"/>
      <c r="M789" s="2"/>
      <c r="N789" s="2"/>
      <c r="W789" s="2"/>
      <c r="X789" s="2"/>
      <c r="Y789" s="2"/>
      <c r="Z789" s="2"/>
      <c r="AA789" s="2"/>
      <c r="AB789" s="2"/>
      <c r="AC789" s="2"/>
      <c r="AD789" s="2"/>
      <c r="AE789" s="2"/>
    </row>
    <row r="790" spans="6:31" ht="12.5" x14ac:dyDescent="0.25">
      <c r="F790" s="2"/>
      <c r="I790" s="2"/>
      <c r="J790" s="2"/>
      <c r="M790" s="2"/>
      <c r="N790" s="2"/>
      <c r="W790" s="2"/>
      <c r="X790" s="2"/>
      <c r="Y790" s="2"/>
      <c r="Z790" s="2"/>
      <c r="AA790" s="2"/>
      <c r="AB790" s="2"/>
      <c r="AC790" s="2"/>
      <c r="AD790" s="2"/>
      <c r="AE790" s="2"/>
    </row>
    <row r="791" spans="6:31" ht="12.5" x14ac:dyDescent="0.25">
      <c r="F791" s="2"/>
      <c r="I791" s="2"/>
      <c r="J791" s="2"/>
      <c r="M791" s="2"/>
      <c r="N791" s="2"/>
      <c r="W791" s="2"/>
      <c r="X791" s="2"/>
      <c r="Y791" s="2"/>
      <c r="Z791" s="2"/>
      <c r="AA791" s="2"/>
      <c r="AB791" s="2"/>
      <c r="AC791" s="2"/>
      <c r="AD791" s="2"/>
      <c r="AE791" s="2"/>
    </row>
    <row r="792" spans="6:31" ht="12.5" x14ac:dyDescent="0.25">
      <c r="F792" s="2"/>
      <c r="I792" s="2"/>
      <c r="J792" s="2"/>
      <c r="M792" s="2"/>
      <c r="N792" s="2"/>
      <c r="W792" s="2"/>
      <c r="X792" s="2"/>
      <c r="Y792" s="2"/>
      <c r="Z792" s="2"/>
      <c r="AA792" s="2"/>
      <c r="AB792" s="2"/>
      <c r="AC792" s="2"/>
      <c r="AD792" s="2"/>
      <c r="AE792" s="2"/>
    </row>
    <row r="793" spans="6:31" ht="12.5" x14ac:dyDescent="0.25">
      <c r="F793" s="2"/>
      <c r="I793" s="2"/>
      <c r="J793" s="2"/>
      <c r="M793" s="2"/>
      <c r="N793" s="2"/>
      <c r="W793" s="2"/>
      <c r="X793" s="2"/>
      <c r="Y793" s="2"/>
      <c r="Z793" s="2"/>
      <c r="AA793" s="2"/>
      <c r="AB793" s="2"/>
      <c r="AC793" s="2"/>
      <c r="AD793" s="2"/>
      <c r="AE793" s="2"/>
    </row>
    <row r="794" spans="6:31" ht="12.5" x14ac:dyDescent="0.25">
      <c r="F794" s="2"/>
      <c r="I794" s="2"/>
      <c r="J794" s="2"/>
      <c r="M794" s="2"/>
      <c r="N794" s="2"/>
      <c r="W794" s="2"/>
      <c r="X794" s="2"/>
      <c r="Y794" s="2"/>
      <c r="Z794" s="2"/>
      <c r="AA794" s="2"/>
      <c r="AB794" s="2"/>
      <c r="AC794" s="2"/>
      <c r="AD794" s="2"/>
      <c r="AE794" s="2"/>
    </row>
    <row r="795" spans="6:31" ht="12.5" x14ac:dyDescent="0.25">
      <c r="F795" s="2"/>
      <c r="I795" s="2"/>
      <c r="J795" s="2"/>
      <c r="M795" s="2"/>
      <c r="N795" s="2"/>
      <c r="W795" s="2"/>
      <c r="X795" s="2"/>
      <c r="Y795" s="2"/>
      <c r="Z795" s="2"/>
      <c r="AA795" s="2"/>
      <c r="AB795" s="2"/>
      <c r="AC795" s="2"/>
      <c r="AD795" s="2"/>
      <c r="AE795" s="2"/>
    </row>
    <row r="796" spans="6:31" ht="12.5" x14ac:dyDescent="0.25">
      <c r="F796" s="2"/>
      <c r="I796" s="2"/>
      <c r="J796" s="2"/>
      <c r="M796" s="2"/>
      <c r="N796" s="2"/>
      <c r="W796" s="2"/>
      <c r="X796" s="2"/>
      <c r="Y796" s="2"/>
      <c r="Z796" s="2"/>
      <c r="AA796" s="2"/>
      <c r="AB796" s="2"/>
      <c r="AC796" s="2"/>
      <c r="AD796" s="2"/>
      <c r="AE796" s="2"/>
    </row>
    <row r="797" spans="6:31" ht="12.5" x14ac:dyDescent="0.25">
      <c r="F797" s="2"/>
      <c r="I797" s="2"/>
      <c r="J797" s="2"/>
      <c r="M797" s="2"/>
      <c r="N797" s="2"/>
      <c r="W797" s="2"/>
      <c r="X797" s="2"/>
      <c r="Y797" s="2"/>
      <c r="Z797" s="2"/>
      <c r="AA797" s="2"/>
      <c r="AB797" s="2"/>
      <c r="AC797" s="2"/>
      <c r="AD797" s="2"/>
      <c r="AE797" s="2"/>
    </row>
    <row r="798" spans="6:31" ht="12.5" x14ac:dyDescent="0.25">
      <c r="F798" s="2"/>
      <c r="I798" s="2"/>
      <c r="J798" s="2"/>
      <c r="M798" s="2"/>
      <c r="N798" s="2"/>
      <c r="W798" s="2"/>
      <c r="X798" s="2"/>
      <c r="Y798" s="2"/>
      <c r="Z798" s="2"/>
      <c r="AA798" s="2"/>
      <c r="AB798" s="2"/>
      <c r="AC798" s="2"/>
      <c r="AD798" s="2"/>
      <c r="AE798" s="2"/>
    </row>
    <row r="799" spans="6:31" ht="12.5" x14ac:dyDescent="0.25">
      <c r="F799" s="2"/>
      <c r="I799" s="2"/>
      <c r="J799" s="2"/>
      <c r="M799" s="2"/>
      <c r="N799" s="2"/>
      <c r="W799" s="2"/>
      <c r="X799" s="2"/>
      <c r="Y799" s="2"/>
      <c r="Z799" s="2"/>
      <c r="AA799" s="2"/>
      <c r="AB799" s="2"/>
      <c r="AC799" s="2"/>
      <c r="AD799" s="2"/>
      <c r="AE799" s="2"/>
    </row>
    <row r="800" spans="6:31" ht="12.5" x14ac:dyDescent="0.25">
      <c r="F800" s="2"/>
      <c r="I800" s="2"/>
      <c r="J800" s="2"/>
      <c r="M800" s="2"/>
      <c r="N800" s="2"/>
      <c r="W800" s="2"/>
      <c r="X800" s="2"/>
      <c r="Y800" s="2"/>
      <c r="Z800" s="2"/>
      <c r="AA800" s="2"/>
      <c r="AB800" s="2"/>
      <c r="AC800" s="2"/>
      <c r="AD800" s="2"/>
      <c r="AE800" s="2"/>
    </row>
    <row r="801" spans="6:31" ht="12.5" x14ac:dyDescent="0.25">
      <c r="F801" s="2"/>
      <c r="I801" s="2"/>
      <c r="J801" s="2"/>
      <c r="M801" s="2"/>
      <c r="N801" s="2"/>
      <c r="W801" s="2"/>
      <c r="X801" s="2"/>
      <c r="Y801" s="2"/>
      <c r="Z801" s="2"/>
      <c r="AA801" s="2"/>
      <c r="AB801" s="2"/>
      <c r="AC801" s="2"/>
      <c r="AD801" s="2"/>
      <c r="AE801" s="2"/>
    </row>
    <row r="802" spans="6:31" ht="12.5" x14ac:dyDescent="0.25">
      <c r="F802" s="2"/>
      <c r="I802" s="2"/>
      <c r="J802" s="2"/>
      <c r="M802" s="2"/>
      <c r="N802" s="2"/>
      <c r="W802" s="2"/>
      <c r="X802" s="2"/>
      <c r="Y802" s="2"/>
      <c r="Z802" s="2"/>
      <c r="AA802" s="2"/>
      <c r="AB802" s="2"/>
      <c r="AC802" s="2"/>
      <c r="AD802" s="2"/>
      <c r="AE802" s="2"/>
    </row>
    <row r="803" spans="6:31" ht="12.5" x14ac:dyDescent="0.25">
      <c r="F803" s="2"/>
      <c r="I803" s="2"/>
      <c r="J803" s="2"/>
      <c r="M803" s="2"/>
      <c r="N803" s="2"/>
      <c r="W803" s="2"/>
      <c r="X803" s="2"/>
      <c r="Y803" s="2"/>
      <c r="Z803" s="2"/>
      <c r="AA803" s="2"/>
      <c r="AB803" s="2"/>
      <c r="AC803" s="2"/>
      <c r="AD803" s="2"/>
      <c r="AE803" s="2"/>
    </row>
    <row r="804" spans="6:31" ht="12.5" x14ac:dyDescent="0.25">
      <c r="F804" s="2"/>
      <c r="I804" s="2"/>
      <c r="J804" s="2"/>
      <c r="M804" s="2"/>
      <c r="N804" s="2"/>
      <c r="W804" s="2"/>
      <c r="X804" s="2"/>
      <c r="Y804" s="2"/>
      <c r="Z804" s="2"/>
      <c r="AA804" s="2"/>
      <c r="AB804" s="2"/>
      <c r="AC804" s="2"/>
      <c r="AD804" s="2"/>
      <c r="AE804" s="2"/>
    </row>
    <row r="805" spans="6:31" ht="12.5" x14ac:dyDescent="0.25">
      <c r="F805" s="2"/>
      <c r="I805" s="2"/>
      <c r="J805" s="2"/>
      <c r="M805" s="2"/>
      <c r="N805" s="2"/>
      <c r="W805" s="2"/>
      <c r="X805" s="2"/>
      <c r="Y805" s="2"/>
      <c r="Z805" s="2"/>
      <c r="AA805" s="2"/>
      <c r="AB805" s="2"/>
      <c r="AC805" s="2"/>
      <c r="AD805" s="2"/>
      <c r="AE805" s="2"/>
    </row>
    <row r="806" spans="6:31" ht="12.5" x14ac:dyDescent="0.25">
      <c r="F806" s="2"/>
      <c r="I806" s="2"/>
      <c r="J806" s="2"/>
      <c r="M806" s="2"/>
      <c r="N806" s="2"/>
      <c r="W806" s="2"/>
      <c r="X806" s="2"/>
      <c r="Y806" s="2"/>
      <c r="Z806" s="2"/>
      <c r="AA806" s="2"/>
      <c r="AB806" s="2"/>
      <c r="AC806" s="2"/>
      <c r="AD806" s="2"/>
      <c r="AE806" s="2"/>
    </row>
    <row r="807" spans="6:31" ht="12.5" x14ac:dyDescent="0.25">
      <c r="F807" s="2"/>
      <c r="I807" s="2"/>
      <c r="J807" s="2"/>
      <c r="M807" s="2"/>
      <c r="N807" s="2"/>
      <c r="W807" s="2"/>
      <c r="X807" s="2"/>
      <c r="Y807" s="2"/>
      <c r="Z807" s="2"/>
      <c r="AA807" s="2"/>
      <c r="AB807" s="2"/>
      <c r="AC807" s="2"/>
      <c r="AD807" s="2"/>
      <c r="AE807" s="2"/>
    </row>
    <row r="808" spans="6:31" ht="12.5" x14ac:dyDescent="0.25">
      <c r="F808" s="2"/>
      <c r="I808" s="2"/>
      <c r="J808" s="2"/>
      <c r="M808" s="2"/>
      <c r="N808" s="2"/>
      <c r="W808" s="2"/>
      <c r="X808" s="2"/>
      <c r="Y808" s="2"/>
      <c r="Z808" s="2"/>
      <c r="AA808" s="2"/>
      <c r="AB808" s="2"/>
      <c r="AC808" s="2"/>
      <c r="AD808" s="2"/>
      <c r="AE808" s="2"/>
    </row>
    <row r="809" spans="6:31" ht="12.5" x14ac:dyDescent="0.25">
      <c r="F809" s="2"/>
      <c r="I809" s="2"/>
      <c r="J809" s="2"/>
      <c r="M809" s="2"/>
      <c r="N809" s="2"/>
      <c r="W809" s="2"/>
      <c r="X809" s="2"/>
      <c r="Y809" s="2"/>
      <c r="Z809" s="2"/>
      <c r="AA809" s="2"/>
      <c r="AB809" s="2"/>
      <c r="AC809" s="2"/>
      <c r="AD809" s="2"/>
      <c r="AE809" s="2"/>
    </row>
    <row r="810" spans="6:31" ht="12.5" x14ac:dyDescent="0.25">
      <c r="F810" s="2"/>
      <c r="I810" s="2"/>
      <c r="J810" s="2"/>
      <c r="M810" s="2"/>
      <c r="N810" s="2"/>
      <c r="W810" s="2"/>
      <c r="X810" s="2"/>
      <c r="Y810" s="2"/>
      <c r="Z810" s="2"/>
      <c r="AA810" s="2"/>
      <c r="AB810" s="2"/>
      <c r="AC810" s="2"/>
      <c r="AD810" s="2"/>
      <c r="AE810" s="2"/>
    </row>
    <row r="811" spans="6:31" ht="12.5" x14ac:dyDescent="0.25">
      <c r="F811" s="2"/>
      <c r="I811" s="2"/>
      <c r="J811" s="2"/>
      <c r="M811" s="2"/>
      <c r="N811" s="2"/>
      <c r="W811" s="2"/>
      <c r="X811" s="2"/>
      <c r="Y811" s="2"/>
      <c r="Z811" s="2"/>
      <c r="AA811" s="2"/>
      <c r="AB811" s="2"/>
      <c r="AC811" s="2"/>
      <c r="AD811" s="2"/>
      <c r="AE811" s="2"/>
    </row>
    <row r="812" spans="6:31" ht="12.5" x14ac:dyDescent="0.25">
      <c r="F812" s="2"/>
      <c r="I812" s="2"/>
      <c r="J812" s="2"/>
      <c r="M812" s="2"/>
      <c r="N812" s="2"/>
      <c r="W812" s="2"/>
      <c r="X812" s="2"/>
      <c r="Y812" s="2"/>
      <c r="Z812" s="2"/>
      <c r="AA812" s="2"/>
      <c r="AB812" s="2"/>
      <c r="AC812" s="2"/>
      <c r="AD812" s="2"/>
      <c r="AE812" s="2"/>
    </row>
    <row r="813" spans="6:31" ht="12.5" x14ac:dyDescent="0.25">
      <c r="F813" s="2"/>
      <c r="I813" s="2"/>
      <c r="J813" s="2"/>
      <c r="M813" s="2"/>
      <c r="N813" s="2"/>
      <c r="W813" s="2"/>
      <c r="X813" s="2"/>
      <c r="Y813" s="2"/>
      <c r="Z813" s="2"/>
      <c r="AA813" s="2"/>
      <c r="AB813" s="2"/>
      <c r="AC813" s="2"/>
      <c r="AD813" s="2"/>
      <c r="AE813" s="2"/>
    </row>
    <row r="814" spans="6:31" ht="12.5" x14ac:dyDescent="0.25">
      <c r="F814" s="2"/>
      <c r="I814" s="2"/>
      <c r="J814" s="2"/>
      <c r="M814" s="2"/>
      <c r="N814" s="2"/>
      <c r="W814" s="2"/>
      <c r="X814" s="2"/>
      <c r="Y814" s="2"/>
      <c r="Z814" s="2"/>
      <c r="AA814" s="2"/>
      <c r="AB814" s="2"/>
      <c r="AC814" s="2"/>
      <c r="AD814" s="2"/>
      <c r="AE814" s="2"/>
    </row>
    <row r="815" spans="6:31" ht="12.5" x14ac:dyDescent="0.25">
      <c r="F815" s="2"/>
      <c r="I815" s="2"/>
      <c r="J815" s="2"/>
      <c r="M815" s="2"/>
      <c r="N815" s="2"/>
      <c r="W815" s="2"/>
      <c r="X815" s="2"/>
      <c r="Y815" s="2"/>
      <c r="Z815" s="2"/>
      <c r="AA815" s="2"/>
      <c r="AB815" s="2"/>
      <c r="AC815" s="2"/>
      <c r="AD815" s="2"/>
      <c r="AE815" s="2"/>
    </row>
    <row r="816" spans="6:31" ht="12.5" x14ac:dyDescent="0.25">
      <c r="F816" s="2"/>
      <c r="I816" s="2"/>
      <c r="J816" s="2"/>
      <c r="M816" s="2"/>
      <c r="N816" s="2"/>
      <c r="W816" s="2"/>
      <c r="X816" s="2"/>
      <c r="Y816" s="2"/>
      <c r="Z816" s="2"/>
      <c r="AA816" s="2"/>
      <c r="AB816" s="2"/>
      <c r="AC816" s="2"/>
      <c r="AD816" s="2"/>
      <c r="AE816" s="2"/>
    </row>
    <row r="817" spans="6:31" ht="12.5" x14ac:dyDescent="0.25">
      <c r="F817" s="2"/>
      <c r="I817" s="2"/>
      <c r="J817" s="2"/>
      <c r="M817" s="2"/>
      <c r="N817" s="2"/>
      <c r="W817" s="2"/>
      <c r="X817" s="2"/>
      <c r="Y817" s="2"/>
      <c r="Z817" s="2"/>
      <c r="AA817" s="2"/>
      <c r="AB817" s="2"/>
      <c r="AC817" s="2"/>
      <c r="AD817" s="2"/>
      <c r="AE817" s="2"/>
    </row>
    <row r="818" spans="6:31" ht="12.5" x14ac:dyDescent="0.25">
      <c r="F818" s="2"/>
      <c r="I818" s="2"/>
      <c r="J818" s="2"/>
      <c r="M818" s="2"/>
      <c r="N818" s="2"/>
      <c r="W818" s="2"/>
      <c r="X818" s="2"/>
      <c r="Y818" s="2"/>
      <c r="Z818" s="2"/>
      <c r="AA818" s="2"/>
      <c r="AB818" s="2"/>
      <c r="AC818" s="2"/>
      <c r="AD818" s="2"/>
      <c r="AE818" s="2"/>
    </row>
    <row r="819" spans="6:31" ht="12.5" x14ac:dyDescent="0.25">
      <c r="F819" s="2"/>
      <c r="I819" s="2"/>
      <c r="J819" s="2"/>
      <c r="M819" s="2"/>
      <c r="N819" s="2"/>
      <c r="W819" s="2"/>
      <c r="X819" s="2"/>
      <c r="Y819" s="2"/>
      <c r="Z819" s="2"/>
      <c r="AA819" s="2"/>
      <c r="AB819" s="2"/>
      <c r="AC819" s="2"/>
      <c r="AD819" s="2"/>
      <c r="AE819" s="2"/>
    </row>
    <row r="820" spans="6:31" ht="12.5" x14ac:dyDescent="0.25">
      <c r="F820" s="2"/>
      <c r="I820" s="2"/>
      <c r="J820" s="2"/>
      <c r="M820" s="2"/>
      <c r="N820" s="2"/>
      <c r="W820" s="2"/>
      <c r="X820" s="2"/>
      <c r="Y820" s="2"/>
      <c r="Z820" s="2"/>
      <c r="AA820" s="2"/>
      <c r="AB820" s="2"/>
      <c r="AC820" s="2"/>
      <c r="AD820" s="2"/>
      <c r="AE820" s="2"/>
    </row>
    <row r="821" spans="6:31" ht="12.5" x14ac:dyDescent="0.25">
      <c r="F821" s="2"/>
      <c r="I821" s="2"/>
      <c r="J821" s="2"/>
      <c r="M821" s="2"/>
      <c r="N821" s="2"/>
      <c r="W821" s="2"/>
      <c r="X821" s="2"/>
      <c r="Y821" s="2"/>
      <c r="Z821" s="2"/>
      <c r="AA821" s="2"/>
      <c r="AB821" s="2"/>
      <c r="AC821" s="2"/>
      <c r="AD821" s="2"/>
      <c r="AE821" s="2"/>
    </row>
    <row r="822" spans="6:31" ht="12.5" x14ac:dyDescent="0.25">
      <c r="F822" s="2"/>
      <c r="I822" s="2"/>
      <c r="J822" s="2"/>
      <c r="M822" s="2"/>
      <c r="N822" s="2"/>
      <c r="W822" s="2"/>
      <c r="X822" s="2"/>
      <c r="Y822" s="2"/>
      <c r="Z822" s="2"/>
      <c r="AA822" s="2"/>
      <c r="AB822" s="2"/>
      <c r="AC822" s="2"/>
      <c r="AD822" s="2"/>
      <c r="AE822" s="2"/>
    </row>
    <row r="823" spans="6:31" ht="12.5" x14ac:dyDescent="0.25">
      <c r="F823" s="2"/>
      <c r="I823" s="2"/>
      <c r="J823" s="2"/>
      <c r="M823" s="2"/>
      <c r="N823" s="2"/>
      <c r="W823" s="2"/>
      <c r="X823" s="2"/>
      <c r="Y823" s="2"/>
      <c r="Z823" s="2"/>
      <c r="AA823" s="2"/>
      <c r="AB823" s="2"/>
      <c r="AC823" s="2"/>
      <c r="AD823" s="2"/>
      <c r="AE823" s="2"/>
    </row>
    <row r="824" spans="6:31" ht="12.5" x14ac:dyDescent="0.25">
      <c r="F824" s="2"/>
      <c r="I824" s="2"/>
      <c r="J824" s="2"/>
      <c r="M824" s="2"/>
      <c r="N824" s="2"/>
      <c r="W824" s="2"/>
      <c r="X824" s="2"/>
      <c r="Y824" s="2"/>
      <c r="Z824" s="2"/>
      <c r="AA824" s="2"/>
      <c r="AB824" s="2"/>
      <c r="AC824" s="2"/>
      <c r="AD824" s="2"/>
      <c r="AE824" s="2"/>
    </row>
    <row r="825" spans="6:31" ht="12.5" x14ac:dyDescent="0.25">
      <c r="F825" s="2"/>
      <c r="I825" s="2"/>
      <c r="J825" s="2"/>
      <c r="M825" s="2"/>
      <c r="N825" s="2"/>
      <c r="W825" s="2"/>
      <c r="X825" s="2"/>
      <c r="Y825" s="2"/>
      <c r="Z825" s="2"/>
      <c r="AA825" s="2"/>
      <c r="AB825" s="2"/>
      <c r="AC825" s="2"/>
      <c r="AD825" s="2"/>
      <c r="AE825" s="2"/>
    </row>
    <row r="826" spans="6:31" ht="12.5" x14ac:dyDescent="0.25">
      <c r="F826" s="2"/>
      <c r="I826" s="2"/>
      <c r="J826" s="2"/>
      <c r="M826" s="2"/>
      <c r="N826" s="2"/>
      <c r="W826" s="2"/>
      <c r="X826" s="2"/>
      <c r="Y826" s="2"/>
      <c r="Z826" s="2"/>
      <c r="AA826" s="2"/>
      <c r="AB826" s="2"/>
      <c r="AC826" s="2"/>
      <c r="AD826" s="2"/>
      <c r="AE826" s="2"/>
    </row>
    <row r="827" spans="6:31" ht="12.5" x14ac:dyDescent="0.25">
      <c r="F827" s="2"/>
      <c r="I827" s="2"/>
      <c r="J827" s="2"/>
      <c r="M827" s="2"/>
      <c r="N827" s="2"/>
      <c r="W827" s="2"/>
      <c r="X827" s="2"/>
      <c r="Y827" s="2"/>
      <c r="Z827" s="2"/>
      <c r="AA827" s="2"/>
      <c r="AB827" s="2"/>
      <c r="AC827" s="2"/>
      <c r="AD827" s="2"/>
      <c r="AE827" s="2"/>
    </row>
    <row r="828" spans="6:31" ht="12.5" x14ac:dyDescent="0.25">
      <c r="F828" s="2"/>
      <c r="I828" s="2"/>
      <c r="J828" s="2"/>
      <c r="M828" s="2"/>
      <c r="N828" s="2"/>
      <c r="W828" s="2"/>
      <c r="X828" s="2"/>
      <c r="Y828" s="2"/>
      <c r="Z828" s="2"/>
      <c r="AA828" s="2"/>
      <c r="AB828" s="2"/>
      <c r="AC828" s="2"/>
      <c r="AD828" s="2"/>
      <c r="AE828" s="2"/>
    </row>
    <row r="829" spans="6:31" ht="12.5" x14ac:dyDescent="0.25">
      <c r="F829" s="2"/>
      <c r="I829" s="2"/>
      <c r="J829" s="2"/>
      <c r="M829" s="2"/>
      <c r="N829" s="2"/>
      <c r="W829" s="2"/>
      <c r="X829" s="2"/>
      <c r="Y829" s="2"/>
      <c r="Z829" s="2"/>
      <c r="AA829" s="2"/>
      <c r="AB829" s="2"/>
      <c r="AC829" s="2"/>
      <c r="AD829" s="2"/>
      <c r="AE829" s="2"/>
    </row>
    <row r="830" spans="6:31" ht="12.5" x14ac:dyDescent="0.25">
      <c r="F830" s="2"/>
      <c r="I830" s="2"/>
      <c r="J830" s="2"/>
      <c r="M830" s="2"/>
      <c r="N830" s="2"/>
      <c r="W830" s="2"/>
      <c r="X830" s="2"/>
      <c r="Y830" s="2"/>
      <c r="Z830" s="2"/>
      <c r="AA830" s="2"/>
      <c r="AB830" s="2"/>
      <c r="AC830" s="2"/>
      <c r="AD830" s="2"/>
      <c r="AE830" s="2"/>
    </row>
    <row r="831" spans="6:31" ht="12.5" x14ac:dyDescent="0.25">
      <c r="F831" s="2"/>
      <c r="I831" s="2"/>
      <c r="J831" s="2"/>
      <c r="M831" s="2"/>
      <c r="N831" s="2"/>
      <c r="W831" s="2"/>
      <c r="X831" s="2"/>
      <c r="Y831" s="2"/>
      <c r="Z831" s="2"/>
      <c r="AA831" s="2"/>
      <c r="AB831" s="2"/>
      <c r="AC831" s="2"/>
      <c r="AD831" s="2"/>
      <c r="AE831" s="2"/>
    </row>
    <row r="832" spans="6:31" ht="12.5" x14ac:dyDescent="0.25">
      <c r="F832" s="2"/>
      <c r="I832" s="2"/>
      <c r="J832" s="2"/>
      <c r="M832" s="2"/>
      <c r="N832" s="2"/>
      <c r="W832" s="2"/>
      <c r="X832" s="2"/>
      <c r="Y832" s="2"/>
      <c r="Z832" s="2"/>
      <c r="AA832" s="2"/>
      <c r="AB832" s="2"/>
      <c r="AC832" s="2"/>
      <c r="AD832" s="2"/>
      <c r="AE832" s="2"/>
    </row>
    <row r="833" spans="6:31" ht="12.5" x14ac:dyDescent="0.25">
      <c r="F833" s="2"/>
      <c r="I833" s="2"/>
      <c r="J833" s="2"/>
      <c r="M833" s="2"/>
      <c r="N833" s="2"/>
      <c r="W833" s="2"/>
      <c r="X833" s="2"/>
      <c r="Y833" s="2"/>
      <c r="Z833" s="2"/>
      <c r="AA833" s="2"/>
      <c r="AB833" s="2"/>
      <c r="AC833" s="2"/>
      <c r="AD833" s="2"/>
      <c r="AE833" s="2"/>
    </row>
    <row r="834" spans="6:31" ht="12.5" x14ac:dyDescent="0.25">
      <c r="F834" s="2"/>
      <c r="I834" s="2"/>
      <c r="J834" s="2"/>
      <c r="M834" s="2"/>
      <c r="N834" s="2"/>
      <c r="W834" s="2"/>
      <c r="X834" s="2"/>
      <c r="Y834" s="2"/>
      <c r="Z834" s="2"/>
      <c r="AA834" s="2"/>
      <c r="AB834" s="2"/>
      <c r="AC834" s="2"/>
      <c r="AD834" s="2"/>
      <c r="AE834" s="2"/>
    </row>
    <row r="835" spans="6:31" ht="12.5" x14ac:dyDescent="0.25">
      <c r="F835" s="2"/>
      <c r="I835" s="2"/>
      <c r="J835" s="2"/>
      <c r="M835" s="2"/>
      <c r="N835" s="2"/>
      <c r="W835" s="2"/>
      <c r="X835" s="2"/>
      <c r="Y835" s="2"/>
      <c r="Z835" s="2"/>
      <c r="AA835" s="2"/>
      <c r="AB835" s="2"/>
      <c r="AC835" s="2"/>
      <c r="AD835" s="2"/>
      <c r="AE835" s="2"/>
    </row>
    <row r="836" spans="6:31" ht="12.5" x14ac:dyDescent="0.25">
      <c r="F836" s="2"/>
      <c r="I836" s="2"/>
      <c r="J836" s="2"/>
      <c r="M836" s="2"/>
      <c r="N836" s="2"/>
      <c r="W836" s="2"/>
      <c r="X836" s="2"/>
      <c r="Y836" s="2"/>
      <c r="Z836" s="2"/>
      <c r="AA836" s="2"/>
      <c r="AB836" s="2"/>
      <c r="AC836" s="2"/>
      <c r="AD836" s="2"/>
      <c r="AE836" s="2"/>
    </row>
    <row r="837" spans="6:31" ht="12.5" x14ac:dyDescent="0.25">
      <c r="F837" s="2"/>
      <c r="I837" s="2"/>
      <c r="J837" s="2"/>
      <c r="M837" s="2"/>
      <c r="N837" s="2"/>
      <c r="W837" s="2"/>
      <c r="X837" s="2"/>
      <c r="Y837" s="2"/>
      <c r="Z837" s="2"/>
      <c r="AA837" s="2"/>
      <c r="AB837" s="2"/>
      <c r="AC837" s="2"/>
      <c r="AD837" s="2"/>
      <c r="AE837" s="2"/>
    </row>
    <row r="838" spans="6:31" ht="12.5" x14ac:dyDescent="0.25">
      <c r="F838" s="2"/>
      <c r="I838" s="2"/>
      <c r="J838" s="2"/>
      <c r="M838" s="2"/>
      <c r="N838" s="2"/>
      <c r="W838" s="2"/>
      <c r="X838" s="2"/>
      <c r="Y838" s="2"/>
      <c r="Z838" s="2"/>
      <c r="AA838" s="2"/>
      <c r="AB838" s="2"/>
      <c r="AC838" s="2"/>
      <c r="AD838" s="2"/>
      <c r="AE838" s="2"/>
    </row>
    <row r="839" spans="6:31" ht="12.5" x14ac:dyDescent="0.25">
      <c r="F839" s="2"/>
      <c r="I839" s="2"/>
      <c r="J839" s="2"/>
      <c r="M839" s="2"/>
      <c r="N839" s="2"/>
      <c r="W839" s="2"/>
      <c r="X839" s="2"/>
      <c r="Y839" s="2"/>
      <c r="Z839" s="2"/>
      <c r="AA839" s="2"/>
      <c r="AB839" s="2"/>
      <c r="AC839" s="2"/>
      <c r="AD839" s="2"/>
      <c r="AE839" s="2"/>
    </row>
    <row r="840" spans="6:31" ht="12.5" x14ac:dyDescent="0.25">
      <c r="F840" s="2"/>
      <c r="I840" s="2"/>
      <c r="J840" s="2"/>
      <c r="M840" s="2"/>
      <c r="N840" s="2"/>
      <c r="W840" s="2"/>
      <c r="X840" s="2"/>
      <c r="Y840" s="2"/>
      <c r="Z840" s="2"/>
      <c r="AA840" s="2"/>
      <c r="AB840" s="2"/>
      <c r="AC840" s="2"/>
      <c r="AD840" s="2"/>
      <c r="AE840" s="2"/>
    </row>
    <row r="841" spans="6:31" ht="12.5" x14ac:dyDescent="0.25">
      <c r="F841" s="2"/>
      <c r="I841" s="2"/>
      <c r="J841" s="2"/>
      <c r="M841" s="2"/>
      <c r="N841" s="2"/>
      <c r="W841" s="2"/>
      <c r="X841" s="2"/>
      <c r="Y841" s="2"/>
      <c r="Z841" s="2"/>
      <c r="AA841" s="2"/>
      <c r="AB841" s="2"/>
      <c r="AC841" s="2"/>
      <c r="AD841" s="2"/>
      <c r="AE841" s="2"/>
    </row>
    <row r="842" spans="6:31" ht="12.5" x14ac:dyDescent="0.25">
      <c r="F842" s="2"/>
      <c r="I842" s="2"/>
      <c r="J842" s="2"/>
      <c r="M842" s="2"/>
      <c r="N842" s="2"/>
      <c r="W842" s="2"/>
      <c r="X842" s="2"/>
      <c r="Y842" s="2"/>
      <c r="Z842" s="2"/>
      <c r="AA842" s="2"/>
      <c r="AB842" s="2"/>
      <c r="AC842" s="2"/>
      <c r="AD842" s="2"/>
      <c r="AE842" s="2"/>
    </row>
    <row r="843" spans="6:31" ht="12.5" x14ac:dyDescent="0.25">
      <c r="F843" s="2"/>
      <c r="I843" s="2"/>
      <c r="J843" s="2"/>
      <c r="M843" s="2"/>
      <c r="N843" s="2"/>
      <c r="W843" s="2"/>
      <c r="X843" s="2"/>
      <c r="Y843" s="2"/>
      <c r="Z843" s="2"/>
      <c r="AA843" s="2"/>
      <c r="AB843" s="2"/>
      <c r="AC843" s="2"/>
      <c r="AD843" s="2"/>
      <c r="AE843" s="2"/>
    </row>
    <row r="844" spans="6:31" ht="12.5" x14ac:dyDescent="0.25">
      <c r="F844" s="2"/>
      <c r="I844" s="2"/>
      <c r="J844" s="2"/>
      <c r="M844" s="2"/>
      <c r="N844" s="2"/>
      <c r="W844" s="2"/>
      <c r="X844" s="2"/>
      <c r="Y844" s="2"/>
      <c r="Z844" s="2"/>
      <c r="AA844" s="2"/>
      <c r="AB844" s="2"/>
      <c r="AC844" s="2"/>
      <c r="AD844" s="2"/>
      <c r="AE844" s="2"/>
    </row>
    <row r="845" spans="6:31" ht="12.5" x14ac:dyDescent="0.25">
      <c r="F845" s="2"/>
      <c r="I845" s="2"/>
      <c r="J845" s="2"/>
      <c r="M845" s="2"/>
      <c r="N845" s="2"/>
      <c r="W845" s="2"/>
      <c r="X845" s="2"/>
      <c r="Y845" s="2"/>
      <c r="Z845" s="2"/>
      <c r="AA845" s="2"/>
      <c r="AB845" s="2"/>
      <c r="AC845" s="2"/>
      <c r="AD845" s="2"/>
      <c r="AE845" s="2"/>
    </row>
    <row r="846" spans="6:31" ht="12.5" x14ac:dyDescent="0.25">
      <c r="F846" s="2"/>
      <c r="I846" s="2"/>
      <c r="J846" s="2"/>
      <c r="M846" s="2"/>
      <c r="N846" s="2"/>
      <c r="W846" s="2"/>
      <c r="X846" s="2"/>
      <c r="Y846" s="2"/>
      <c r="Z846" s="2"/>
      <c r="AA846" s="2"/>
      <c r="AB846" s="2"/>
      <c r="AC846" s="2"/>
      <c r="AD846" s="2"/>
      <c r="AE846" s="2"/>
    </row>
    <row r="847" spans="6:31" ht="12.5" x14ac:dyDescent="0.25">
      <c r="F847" s="2"/>
      <c r="I847" s="2"/>
      <c r="J847" s="2"/>
      <c r="M847" s="2"/>
      <c r="N847" s="2"/>
      <c r="W847" s="2"/>
      <c r="X847" s="2"/>
      <c r="Y847" s="2"/>
      <c r="Z847" s="2"/>
      <c r="AA847" s="2"/>
      <c r="AB847" s="2"/>
      <c r="AC847" s="2"/>
      <c r="AD847" s="2"/>
      <c r="AE847" s="2"/>
    </row>
    <row r="848" spans="6:31" ht="12.5" x14ac:dyDescent="0.25">
      <c r="F848" s="2"/>
      <c r="I848" s="2"/>
      <c r="J848" s="2"/>
      <c r="M848" s="2"/>
      <c r="N848" s="2"/>
      <c r="W848" s="2"/>
      <c r="X848" s="2"/>
      <c r="Y848" s="2"/>
      <c r="Z848" s="2"/>
      <c r="AA848" s="2"/>
      <c r="AB848" s="2"/>
      <c r="AC848" s="2"/>
      <c r="AD848" s="2"/>
      <c r="AE848" s="2"/>
    </row>
    <row r="849" spans="6:31" ht="12.5" x14ac:dyDescent="0.25">
      <c r="F849" s="2"/>
      <c r="I849" s="2"/>
      <c r="J849" s="2"/>
      <c r="M849" s="2"/>
      <c r="N849" s="2"/>
      <c r="W849" s="2"/>
      <c r="X849" s="2"/>
      <c r="Y849" s="2"/>
      <c r="Z849" s="2"/>
      <c r="AA849" s="2"/>
      <c r="AB849" s="2"/>
      <c r="AC849" s="2"/>
      <c r="AD849" s="2"/>
      <c r="AE849" s="2"/>
    </row>
    <row r="850" spans="6:31" ht="12.5" x14ac:dyDescent="0.25">
      <c r="F850" s="2"/>
      <c r="I850" s="2"/>
      <c r="J850" s="2"/>
      <c r="M850" s="2"/>
      <c r="N850" s="2"/>
      <c r="W850" s="2"/>
      <c r="X850" s="2"/>
      <c r="Y850" s="2"/>
      <c r="Z850" s="2"/>
      <c r="AA850" s="2"/>
      <c r="AB850" s="2"/>
      <c r="AC850" s="2"/>
      <c r="AD850" s="2"/>
      <c r="AE850" s="2"/>
    </row>
    <row r="851" spans="6:31" ht="12.5" x14ac:dyDescent="0.25">
      <c r="F851" s="2"/>
      <c r="I851" s="2"/>
      <c r="J851" s="2"/>
      <c r="M851" s="2"/>
      <c r="N851" s="2"/>
      <c r="W851" s="2"/>
      <c r="X851" s="2"/>
      <c r="Y851" s="2"/>
      <c r="Z851" s="2"/>
      <c r="AA851" s="2"/>
      <c r="AB851" s="2"/>
      <c r="AC851" s="2"/>
      <c r="AD851" s="2"/>
      <c r="AE851" s="2"/>
    </row>
    <row r="852" spans="6:31" ht="12.5" x14ac:dyDescent="0.25">
      <c r="F852" s="2"/>
      <c r="I852" s="2"/>
      <c r="J852" s="2"/>
      <c r="M852" s="2"/>
      <c r="N852" s="2"/>
      <c r="W852" s="2"/>
      <c r="X852" s="2"/>
      <c r="Y852" s="2"/>
      <c r="Z852" s="2"/>
      <c r="AA852" s="2"/>
      <c r="AB852" s="2"/>
      <c r="AC852" s="2"/>
      <c r="AD852" s="2"/>
      <c r="AE852" s="2"/>
    </row>
    <row r="853" spans="6:31" ht="12.5" x14ac:dyDescent="0.25">
      <c r="F853" s="2"/>
      <c r="I853" s="2"/>
      <c r="J853" s="2"/>
      <c r="M853" s="2"/>
      <c r="N853" s="2"/>
      <c r="W853" s="2"/>
      <c r="X853" s="2"/>
      <c r="Y853" s="2"/>
      <c r="Z853" s="2"/>
      <c r="AA853" s="2"/>
      <c r="AB853" s="2"/>
      <c r="AC853" s="2"/>
      <c r="AD853" s="2"/>
      <c r="AE853" s="2"/>
    </row>
    <row r="854" spans="6:31" ht="12.5" x14ac:dyDescent="0.25">
      <c r="F854" s="2"/>
      <c r="I854" s="2"/>
      <c r="J854" s="2"/>
      <c r="M854" s="2"/>
      <c r="N854" s="2"/>
      <c r="W854" s="2"/>
      <c r="X854" s="2"/>
      <c r="Y854" s="2"/>
      <c r="Z854" s="2"/>
      <c r="AA854" s="2"/>
      <c r="AB854" s="2"/>
      <c r="AC854" s="2"/>
      <c r="AD854" s="2"/>
      <c r="AE854" s="2"/>
    </row>
    <row r="855" spans="6:31" ht="12.5" x14ac:dyDescent="0.25">
      <c r="F855" s="2"/>
      <c r="I855" s="2"/>
      <c r="J855" s="2"/>
      <c r="M855" s="2"/>
      <c r="N855" s="2"/>
      <c r="W855" s="2"/>
      <c r="X855" s="2"/>
      <c r="Y855" s="2"/>
      <c r="Z855" s="2"/>
      <c r="AA855" s="2"/>
      <c r="AB855" s="2"/>
      <c r="AC855" s="2"/>
      <c r="AD855" s="2"/>
      <c r="AE855" s="2"/>
    </row>
    <row r="856" spans="6:31" ht="12.5" x14ac:dyDescent="0.25">
      <c r="F856" s="2"/>
      <c r="I856" s="2"/>
      <c r="J856" s="2"/>
      <c r="M856" s="2"/>
      <c r="N856" s="2"/>
      <c r="W856" s="2"/>
      <c r="X856" s="2"/>
      <c r="Y856" s="2"/>
      <c r="Z856" s="2"/>
      <c r="AA856" s="2"/>
      <c r="AB856" s="2"/>
      <c r="AC856" s="2"/>
      <c r="AD856" s="2"/>
      <c r="AE856" s="2"/>
    </row>
    <row r="857" spans="6:31" ht="12.5" x14ac:dyDescent="0.25">
      <c r="F857" s="2"/>
      <c r="I857" s="2"/>
      <c r="J857" s="2"/>
      <c r="M857" s="2"/>
      <c r="N857" s="2"/>
      <c r="W857" s="2"/>
      <c r="X857" s="2"/>
      <c r="Y857" s="2"/>
      <c r="Z857" s="2"/>
      <c r="AA857" s="2"/>
      <c r="AB857" s="2"/>
      <c r="AC857" s="2"/>
      <c r="AD857" s="2"/>
      <c r="AE857" s="2"/>
    </row>
    <row r="858" spans="6:31" ht="12.5" x14ac:dyDescent="0.25">
      <c r="F858" s="2"/>
      <c r="I858" s="2"/>
      <c r="J858" s="2"/>
      <c r="M858" s="2"/>
      <c r="N858" s="2"/>
      <c r="W858" s="2"/>
      <c r="X858" s="2"/>
      <c r="Y858" s="2"/>
      <c r="Z858" s="2"/>
      <c r="AA858" s="2"/>
      <c r="AB858" s="2"/>
      <c r="AC858" s="2"/>
      <c r="AD858" s="2"/>
      <c r="AE858" s="2"/>
    </row>
    <row r="859" spans="6:31" ht="12.5" x14ac:dyDescent="0.25">
      <c r="F859" s="2"/>
      <c r="I859" s="2"/>
      <c r="J859" s="2"/>
      <c r="M859" s="2"/>
      <c r="N859" s="2"/>
      <c r="W859" s="2"/>
      <c r="X859" s="2"/>
      <c r="Y859" s="2"/>
      <c r="Z859" s="2"/>
      <c r="AA859" s="2"/>
      <c r="AB859" s="2"/>
      <c r="AC859" s="2"/>
      <c r="AD859" s="2"/>
      <c r="AE859" s="2"/>
    </row>
    <row r="860" spans="6:31" ht="12.5" x14ac:dyDescent="0.25">
      <c r="F860" s="2"/>
      <c r="I860" s="2"/>
      <c r="J860" s="2"/>
      <c r="M860" s="2"/>
      <c r="N860" s="2"/>
      <c r="W860" s="2"/>
      <c r="X860" s="2"/>
      <c r="Y860" s="2"/>
      <c r="Z860" s="2"/>
      <c r="AA860" s="2"/>
      <c r="AB860" s="2"/>
      <c r="AC860" s="2"/>
      <c r="AD860" s="2"/>
      <c r="AE860" s="2"/>
    </row>
    <row r="861" spans="6:31" ht="12.5" x14ac:dyDescent="0.25">
      <c r="F861" s="2"/>
      <c r="I861" s="2"/>
      <c r="J861" s="2"/>
      <c r="M861" s="2"/>
      <c r="N861" s="2"/>
      <c r="W861" s="2"/>
      <c r="X861" s="2"/>
      <c r="Y861" s="2"/>
      <c r="Z861" s="2"/>
      <c r="AA861" s="2"/>
      <c r="AB861" s="2"/>
      <c r="AC861" s="2"/>
      <c r="AD861" s="2"/>
      <c r="AE861" s="2"/>
    </row>
    <row r="862" spans="6:31" ht="12.5" x14ac:dyDescent="0.25">
      <c r="F862" s="2"/>
      <c r="I862" s="2"/>
      <c r="J862" s="2"/>
      <c r="M862" s="2"/>
      <c r="N862" s="2"/>
      <c r="W862" s="2"/>
      <c r="X862" s="2"/>
      <c r="Y862" s="2"/>
      <c r="Z862" s="2"/>
      <c r="AA862" s="2"/>
      <c r="AB862" s="2"/>
      <c r="AC862" s="2"/>
      <c r="AD862" s="2"/>
      <c r="AE862" s="2"/>
    </row>
    <row r="863" spans="6:31" ht="12.5" x14ac:dyDescent="0.25">
      <c r="F863" s="2"/>
      <c r="I863" s="2"/>
      <c r="J863" s="2"/>
      <c r="M863" s="2"/>
      <c r="N863" s="2"/>
      <c r="W863" s="2"/>
      <c r="X863" s="2"/>
      <c r="Y863" s="2"/>
      <c r="Z863" s="2"/>
      <c r="AA863" s="2"/>
      <c r="AB863" s="2"/>
      <c r="AC863" s="2"/>
      <c r="AD863" s="2"/>
      <c r="AE863" s="2"/>
    </row>
    <row r="864" spans="6:31" ht="12.5" x14ac:dyDescent="0.25">
      <c r="F864" s="2"/>
      <c r="I864" s="2"/>
      <c r="J864" s="2"/>
      <c r="M864" s="2"/>
      <c r="N864" s="2"/>
      <c r="W864" s="2"/>
      <c r="X864" s="2"/>
      <c r="Y864" s="2"/>
      <c r="Z864" s="2"/>
      <c r="AA864" s="2"/>
      <c r="AB864" s="2"/>
      <c r="AC864" s="2"/>
      <c r="AD864" s="2"/>
      <c r="AE864" s="2"/>
    </row>
    <row r="865" spans="6:31" ht="12.5" x14ac:dyDescent="0.25">
      <c r="F865" s="2"/>
      <c r="I865" s="2"/>
      <c r="J865" s="2"/>
      <c r="M865" s="2"/>
      <c r="N865" s="2"/>
      <c r="W865" s="2"/>
      <c r="X865" s="2"/>
      <c r="Y865" s="2"/>
      <c r="Z865" s="2"/>
      <c r="AA865" s="2"/>
      <c r="AB865" s="2"/>
      <c r="AC865" s="2"/>
      <c r="AD865" s="2"/>
      <c r="AE865" s="2"/>
    </row>
    <row r="866" spans="6:31" ht="12.5" x14ac:dyDescent="0.25">
      <c r="F866" s="2"/>
      <c r="I866" s="2"/>
      <c r="J866" s="2"/>
      <c r="M866" s="2"/>
      <c r="N866" s="2"/>
      <c r="W866" s="2"/>
      <c r="X866" s="2"/>
      <c r="Y866" s="2"/>
      <c r="Z866" s="2"/>
      <c r="AA866" s="2"/>
      <c r="AB866" s="2"/>
      <c r="AC866" s="2"/>
      <c r="AD866" s="2"/>
      <c r="AE866" s="2"/>
    </row>
    <row r="867" spans="6:31" ht="12.5" x14ac:dyDescent="0.25">
      <c r="F867" s="2"/>
      <c r="I867" s="2"/>
      <c r="J867" s="2"/>
      <c r="M867" s="2"/>
      <c r="N867" s="2"/>
      <c r="W867" s="2"/>
      <c r="X867" s="2"/>
      <c r="Y867" s="2"/>
      <c r="Z867" s="2"/>
      <c r="AA867" s="2"/>
      <c r="AB867" s="2"/>
      <c r="AC867" s="2"/>
      <c r="AD867" s="2"/>
      <c r="AE867" s="2"/>
    </row>
    <row r="868" spans="6:31" ht="12.5" x14ac:dyDescent="0.25">
      <c r="F868" s="2"/>
      <c r="I868" s="2"/>
      <c r="J868" s="2"/>
      <c r="M868" s="2"/>
      <c r="N868" s="2"/>
      <c r="W868" s="2"/>
      <c r="X868" s="2"/>
      <c r="Y868" s="2"/>
      <c r="Z868" s="2"/>
      <c r="AA868" s="2"/>
      <c r="AB868" s="2"/>
      <c r="AC868" s="2"/>
      <c r="AD868" s="2"/>
      <c r="AE868" s="2"/>
    </row>
    <row r="869" spans="6:31" ht="12.5" x14ac:dyDescent="0.25">
      <c r="F869" s="2"/>
      <c r="I869" s="2"/>
      <c r="J869" s="2"/>
      <c r="M869" s="2"/>
      <c r="N869" s="2"/>
      <c r="W869" s="2"/>
      <c r="X869" s="2"/>
      <c r="Y869" s="2"/>
      <c r="Z869" s="2"/>
      <c r="AA869" s="2"/>
      <c r="AB869" s="2"/>
      <c r="AC869" s="2"/>
      <c r="AD869" s="2"/>
      <c r="AE869" s="2"/>
    </row>
    <row r="870" spans="6:31" ht="12.5" x14ac:dyDescent="0.25">
      <c r="F870" s="2"/>
      <c r="I870" s="2"/>
      <c r="J870" s="2"/>
      <c r="M870" s="2"/>
      <c r="N870" s="2"/>
      <c r="W870" s="2"/>
      <c r="X870" s="2"/>
      <c r="Y870" s="2"/>
      <c r="Z870" s="2"/>
      <c r="AA870" s="2"/>
      <c r="AB870" s="2"/>
      <c r="AC870" s="2"/>
      <c r="AD870" s="2"/>
      <c r="AE870" s="2"/>
    </row>
    <row r="871" spans="6:31" ht="12.5" x14ac:dyDescent="0.25">
      <c r="F871" s="2"/>
      <c r="I871" s="2"/>
      <c r="J871" s="2"/>
      <c r="M871" s="2"/>
      <c r="N871" s="2"/>
      <c r="W871" s="2"/>
      <c r="X871" s="2"/>
      <c r="Y871" s="2"/>
      <c r="Z871" s="2"/>
      <c r="AA871" s="2"/>
      <c r="AB871" s="2"/>
      <c r="AC871" s="2"/>
      <c r="AD871" s="2"/>
      <c r="AE871" s="2"/>
    </row>
    <row r="872" spans="6:31" ht="12.5" x14ac:dyDescent="0.25">
      <c r="F872" s="2"/>
      <c r="I872" s="2"/>
      <c r="J872" s="2"/>
      <c r="M872" s="2"/>
      <c r="N872" s="2"/>
      <c r="W872" s="2"/>
      <c r="X872" s="2"/>
      <c r="Y872" s="2"/>
      <c r="Z872" s="2"/>
      <c r="AA872" s="2"/>
      <c r="AB872" s="2"/>
      <c r="AC872" s="2"/>
      <c r="AD872" s="2"/>
      <c r="AE872" s="2"/>
    </row>
    <row r="873" spans="6:31" ht="12.5" x14ac:dyDescent="0.25">
      <c r="F873" s="2"/>
      <c r="I873" s="2"/>
      <c r="J873" s="2"/>
      <c r="M873" s="2"/>
      <c r="N873" s="2"/>
      <c r="W873" s="2"/>
      <c r="X873" s="2"/>
      <c r="Y873" s="2"/>
      <c r="Z873" s="2"/>
      <c r="AA873" s="2"/>
      <c r="AB873" s="2"/>
      <c r="AC873" s="2"/>
      <c r="AD873" s="2"/>
      <c r="AE873" s="2"/>
    </row>
    <row r="874" spans="6:31" ht="12.5" x14ac:dyDescent="0.25">
      <c r="F874" s="2"/>
      <c r="I874" s="2"/>
      <c r="J874" s="2"/>
      <c r="M874" s="2"/>
      <c r="N874" s="2"/>
      <c r="W874" s="2"/>
      <c r="X874" s="2"/>
      <c r="Y874" s="2"/>
      <c r="Z874" s="2"/>
      <c r="AA874" s="2"/>
      <c r="AB874" s="2"/>
      <c r="AC874" s="2"/>
      <c r="AD874" s="2"/>
      <c r="AE874" s="2"/>
    </row>
    <row r="875" spans="6:31" ht="12.5" x14ac:dyDescent="0.25">
      <c r="F875" s="2"/>
      <c r="I875" s="2"/>
      <c r="J875" s="2"/>
      <c r="M875" s="2"/>
      <c r="N875" s="2"/>
      <c r="W875" s="2"/>
      <c r="X875" s="2"/>
      <c r="Y875" s="2"/>
      <c r="Z875" s="2"/>
      <c r="AA875" s="2"/>
      <c r="AB875" s="2"/>
      <c r="AC875" s="2"/>
      <c r="AD875" s="2"/>
      <c r="AE875" s="2"/>
    </row>
    <row r="876" spans="6:31" ht="12.5" x14ac:dyDescent="0.25">
      <c r="F876" s="2"/>
      <c r="I876" s="2"/>
      <c r="J876" s="2"/>
      <c r="M876" s="2"/>
      <c r="N876" s="2"/>
      <c r="W876" s="2"/>
      <c r="X876" s="2"/>
      <c r="Y876" s="2"/>
      <c r="Z876" s="2"/>
      <c r="AA876" s="2"/>
      <c r="AB876" s="2"/>
      <c r="AC876" s="2"/>
      <c r="AD876" s="2"/>
      <c r="AE876" s="2"/>
    </row>
    <row r="877" spans="6:31" ht="12.5" x14ac:dyDescent="0.25">
      <c r="F877" s="2"/>
      <c r="I877" s="2"/>
      <c r="J877" s="2"/>
      <c r="M877" s="2"/>
      <c r="N877" s="2"/>
      <c r="W877" s="2"/>
      <c r="X877" s="2"/>
      <c r="Y877" s="2"/>
      <c r="Z877" s="2"/>
      <c r="AA877" s="2"/>
      <c r="AB877" s="2"/>
      <c r="AC877" s="2"/>
      <c r="AD877" s="2"/>
      <c r="AE877" s="2"/>
    </row>
    <row r="878" spans="6:31" ht="12.5" x14ac:dyDescent="0.25">
      <c r="F878" s="2"/>
      <c r="I878" s="2"/>
      <c r="J878" s="2"/>
      <c r="M878" s="2"/>
      <c r="N878" s="2"/>
      <c r="W878" s="2"/>
      <c r="X878" s="2"/>
      <c r="Y878" s="2"/>
      <c r="Z878" s="2"/>
      <c r="AA878" s="2"/>
      <c r="AB878" s="2"/>
      <c r="AC878" s="2"/>
      <c r="AD878" s="2"/>
      <c r="AE878" s="2"/>
    </row>
    <row r="879" spans="6:31" ht="12.5" x14ac:dyDescent="0.25">
      <c r="F879" s="2"/>
      <c r="I879" s="2"/>
      <c r="J879" s="2"/>
      <c r="M879" s="2"/>
      <c r="N879" s="2"/>
      <c r="W879" s="2"/>
      <c r="X879" s="2"/>
      <c r="Y879" s="2"/>
      <c r="Z879" s="2"/>
      <c r="AA879" s="2"/>
      <c r="AB879" s="2"/>
      <c r="AC879" s="2"/>
      <c r="AD879" s="2"/>
      <c r="AE879" s="2"/>
    </row>
    <row r="880" spans="6:31" ht="12.5" x14ac:dyDescent="0.25">
      <c r="F880" s="2"/>
      <c r="I880" s="2"/>
      <c r="J880" s="2"/>
      <c r="M880" s="2"/>
      <c r="N880" s="2"/>
      <c r="W880" s="2"/>
      <c r="X880" s="2"/>
      <c r="Y880" s="2"/>
      <c r="Z880" s="2"/>
      <c r="AA880" s="2"/>
      <c r="AB880" s="2"/>
      <c r="AC880" s="2"/>
      <c r="AD880" s="2"/>
      <c r="AE880" s="2"/>
    </row>
    <row r="881" spans="6:31" ht="12.5" x14ac:dyDescent="0.25">
      <c r="F881" s="2"/>
      <c r="I881" s="2"/>
      <c r="J881" s="2"/>
      <c r="M881" s="2"/>
      <c r="N881" s="2"/>
      <c r="W881" s="2"/>
      <c r="X881" s="2"/>
      <c r="Y881" s="2"/>
      <c r="Z881" s="2"/>
      <c r="AA881" s="2"/>
      <c r="AB881" s="2"/>
      <c r="AC881" s="2"/>
      <c r="AD881" s="2"/>
      <c r="AE881" s="2"/>
    </row>
    <row r="882" spans="6:31" ht="12.5" x14ac:dyDescent="0.25">
      <c r="F882" s="2"/>
      <c r="I882" s="2"/>
      <c r="J882" s="2"/>
      <c r="M882" s="2"/>
      <c r="N882" s="2"/>
      <c r="W882" s="2"/>
      <c r="X882" s="2"/>
      <c r="Y882" s="2"/>
      <c r="Z882" s="2"/>
      <c r="AA882" s="2"/>
      <c r="AB882" s="2"/>
      <c r="AC882" s="2"/>
      <c r="AD882" s="2"/>
      <c r="AE882" s="2"/>
    </row>
    <row r="883" spans="6:31" ht="12.5" x14ac:dyDescent="0.25">
      <c r="F883" s="2"/>
      <c r="I883" s="2"/>
      <c r="J883" s="2"/>
      <c r="M883" s="2"/>
      <c r="N883" s="2"/>
      <c r="W883" s="2"/>
      <c r="X883" s="2"/>
      <c r="Y883" s="2"/>
      <c r="Z883" s="2"/>
      <c r="AA883" s="2"/>
      <c r="AB883" s="2"/>
      <c r="AC883" s="2"/>
      <c r="AD883" s="2"/>
      <c r="AE883" s="2"/>
    </row>
    <row r="884" spans="6:31" ht="12.5" x14ac:dyDescent="0.25">
      <c r="F884" s="2"/>
      <c r="I884" s="2"/>
      <c r="J884" s="2"/>
      <c r="M884" s="2"/>
      <c r="N884" s="2"/>
      <c r="W884" s="2"/>
      <c r="X884" s="2"/>
      <c r="Y884" s="2"/>
      <c r="Z884" s="2"/>
      <c r="AA884" s="2"/>
      <c r="AB884" s="2"/>
      <c r="AC884" s="2"/>
      <c r="AD884" s="2"/>
      <c r="AE884" s="2"/>
    </row>
    <row r="885" spans="6:31" ht="12.5" x14ac:dyDescent="0.25">
      <c r="F885" s="2"/>
      <c r="I885" s="2"/>
      <c r="J885" s="2"/>
      <c r="M885" s="2"/>
      <c r="N885" s="2"/>
      <c r="W885" s="2"/>
      <c r="X885" s="2"/>
      <c r="Y885" s="2"/>
      <c r="Z885" s="2"/>
      <c r="AA885" s="2"/>
      <c r="AB885" s="2"/>
      <c r="AC885" s="2"/>
      <c r="AD885" s="2"/>
      <c r="AE885" s="2"/>
    </row>
    <row r="886" spans="6:31" ht="12.5" x14ac:dyDescent="0.25">
      <c r="F886" s="2"/>
      <c r="I886" s="2"/>
      <c r="J886" s="2"/>
      <c r="M886" s="2"/>
      <c r="N886" s="2"/>
      <c r="W886" s="2"/>
      <c r="X886" s="2"/>
      <c r="Y886" s="2"/>
      <c r="Z886" s="2"/>
      <c r="AA886" s="2"/>
      <c r="AB886" s="2"/>
      <c r="AC886" s="2"/>
      <c r="AD886" s="2"/>
      <c r="AE886" s="2"/>
    </row>
    <row r="887" spans="6:31" ht="12.5" x14ac:dyDescent="0.25">
      <c r="F887" s="2"/>
      <c r="I887" s="2"/>
      <c r="J887" s="2"/>
      <c r="M887" s="2"/>
      <c r="N887" s="2"/>
      <c r="W887" s="2"/>
      <c r="X887" s="2"/>
      <c r="Y887" s="2"/>
      <c r="Z887" s="2"/>
      <c r="AA887" s="2"/>
      <c r="AB887" s="2"/>
      <c r="AC887" s="2"/>
      <c r="AD887" s="2"/>
      <c r="AE887" s="2"/>
    </row>
    <row r="888" spans="6:31" ht="12.5" x14ac:dyDescent="0.25">
      <c r="F888" s="2"/>
      <c r="I888" s="2"/>
      <c r="J888" s="2"/>
      <c r="M888" s="2"/>
      <c r="N888" s="2"/>
      <c r="W888" s="2"/>
      <c r="X888" s="2"/>
      <c r="Y888" s="2"/>
      <c r="Z888" s="2"/>
      <c r="AA888" s="2"/>
      <c r="AB888" s="2"/>
      <c r="AC888" s="2"/>
      <c r="AD888" s="2"/>
      <c r="AE888" s="2"/>
    </row>
    <row r="889" spans="6:31" ht="12.5" x14ac:dyDescent="0.25">
      <c r="F889" s="2"/>
      <c r="I889" s="2"/>
      <c r="J889" s="2"/>
      <c r="M889" s="2"/>
      <c r="N889" s="2"/>
      <c r="W889" s="2"/>
      <c r="X889" s="2"/>
      <c r="Y889" s="2"/>
      <c r="Z889" s="2"/>
      <c r="AA889" s="2"/>
      <c r="AB889" s="2"/>
      <c r="AC889" s="2"/>
      <c r="AD889" s="2"/>
      <c r="AE889" s="2"/>
    </row>
    <row r="890" spans="6:31" ht="12.5" x14ac:dyDescent="0.25">
      <c r="F890" s="2"/>
      <c r="I890" s="2"/>
      <c r="J890" s="2"/>
      <c r="M890" s="2"/>
      <c r="N890" s="2"/>
      <c r="W890" s="2"/>
      <c r="X890" s="2"/>
      <c r="Y890" s="2"/>
      <c r="Z890" s="2"/>
      <c r="AA890" s="2"/>
      <c r="AB890" s="2"/>
      <c r="AC890" s="2"/>
      <c r="AD890" s="2"/>
      <c r="AE890" s="2"/>
    </row>
    <row r="891" spans="6:31" ht="12.5" x14ac:dyDescent="0.25">
      <c r="F891" s="2"/>
      <c r="I891" s="2"/>
      <c r="J891" s="2"/>
      <c r="M891" s="2"/>
      <c r="N891" s="2"/>
      <c r="W891" s="2"/>
      <c r="X891" s="2"/>
      <c r="Y891" s="2"/>
      <c r="Z891" s="2"/>
      <c r="AA891" s="2"/>
      <c r="AB891" s="2"/>
      <c r="AC891" s="2"/>
      <c r="AD891" s="2"/>
      <c r="AE891" s="2"/>
    </row>
    <row r="892" spans="6:31" ht="12.5" x14ac:dyDescent="0.25">
      <c r="F892" s="2"/>
      <c r="I892" s="2"/>
      <c r="J892" s="2"/>
      <c r="M892" s="2"/>
      <c r="N892" s="2"/>
      <c r="W892" s="2"/>
      <c r="X892" s="2"/>
      <c r="Y892" s="2"/>
      <c r="Z892" s="2"/>
      <c r="AA892" s="2"/>
      <c r="AB892" s="2"/>
      <c r="AC892" s="2"/>
      <c r="AD892" s="2"/>
      <c r="AE892" s="2"/>
    </row>
    <row r="893" spans="6:31" ht="12.5" x14ac:dyDescent="0.25">
      <c r="F893" s="2"/>
      <c r="I893" s="2"/>
      <c r="J893" s="2"/>
      <c r="M893" s="2"/>
      <c r="N893" s="2"/>
      <c r="W893" s="2"/>
      <c r="X893" s="2"/>
      <c r="Y893" s="2"/>
      <c r="Z893" s="2"/>
      <c r="AA893" s="2"/>
      <c r="AB893" s="2"/>
      <c r="AC893" s="2"/>
      <c r="AD893" s="2"/>
      <c r="AE893" s="2"/>
    </row>
    <row r="894" spans="6:31" ht="12.5" x14ac:dyDescent="0.25">
      <c r="F894" s="2"/>
      <c r="I894" s="2"/>
      <c r="J894" s="2"/>
      <c r="M894" s="2"/>
      <c r="N894" s="2"/>
      <c r="W894" s="2"/>
      <c r="X894" s="2"/>
      <c r="Y894" s="2"/>
      <c r="Z894" s="2"/>
      <c r="AA894" s="2"/>
      <c r="AB894" s="2"/>
      <c r="AC894" s="2"/>
      <c r="AD894" s="2"/>
      <c r="AE894" s="2"/>
    </row>
    <row r="895" spans="6:31" ht="12.5" x14ac:dyDescent="0.25">
      <c r="F895" s="2"/>
      <c r="I895" s="2"/>
      <c r="J895" s="2"/>
      <c r="M895" s="2"/>
      <c r="N895" s="2"/>
      <c r="W895" s="2"/>
      <c r="X895" s="2"/>
      <c r="Y895" s="2"/>
      <c r="Z895" s="2"/>
      <c r="AA895" s="2"/>
      <c r="AB895" s="2"/>
      <c r="AC895" s="2"/>
      <c r="AD895" s="2"/>
      <c r="AE895" s="2"/>
    </row>
    <row r="896" spans="6:31" ht="12.5" x14ac:dyDescent="0.25">
      <c r="F896" s="2"/>
      <c r="I896" s="2"/>
      <c r="J896" s="2"/>
      <c r="M896" s="2"/>
      <c r="N896" s="2"/>
      <c r="W896" s="2"/>
      <c r="X896" s="2"/>
      <c r="Y896" s="2"/>
      <c r="Z896" s="2"/>
      <c r="AA896" s="2"/>
      <c r="AB896" s="2"/>
      <c r="AC896" s="2"/>
      <c r="AD896" s="2"/>
      <c r="AE896" s="2"/>
    </row>
    <row r="897" spans="6:31" ht="12.5" x14ac:dyDescent="0.25">
      <c r="F897" s="2"/>
      <c r="I897" s="2"/>
      <c r="J897" s="2"/>
      <c r="M897" s="2"/>
      <c r="N897" s="2"/>
      <c r="W897" s="2"/>
      <c r="X897" s="2"/>
      <c r="Y897" s="2"/>
      <c r="Z897" s="2"/>
      <c r="AA897" s="2"/>
      <c r="AB897" s="2"/>
      <c r="AC897" s="2"/>
      <c r="AD897" s="2"/>
      <c r="AE897" s="2"/>
    </row>
    <row r="898" spans="6:31" ht="12.5" x14ac:dyDescent="0.25">
      <c r="F898" s="2"/>
      <c r="I898" s="2"/>
      <c r="J898" s="2"/>
      <c r="M898" s="2"/>
      <c r="N898" s="2"/>
      <c r="W898" s="2"/>
      <c r="X898" s="2"/>
      <c r="Y898" s="2"/>
      <c r="Z898" s="2"/>
      <c r="AA898" s="2"/>
      <c r="AB898" s="2"/>
      <c r="AC898" s="2"/>
      <c r="AD898" s="2"/>
      <c r="AE898" s="2"/>
    </row>
    <row r="899" spans="6:31" ht="12.5" x14ac:dyDescent="0.25">
      <c r="F899" s="2"/>
      <c r="I899" s="2"/>
      <c r="J899" s="2"/>
      <c r="M899" s="2"/>
      <c r="N899" s="2"/>
      <c r="W899" s="2"/>
      <c r="X899" s="2"/>
      <c r="Y899" s="2"/>
      <c r="Z899" s="2"/>
      <c r="AA899" s="2"/>
      <c r="AB899" s="2"/>
      <c r="AC899" s="2"/>
      <c r="AD899" s="2"/>
      <c r="AE899" s="2"/>
    </row>
    <row r="900" spans="6:31" ht="12.5" x14ac:dyDescent="0.25">
      <c r="F900" s="2"/>
      <c r="I900" s="2"/>
      <c r="J900" s="2"/>
      <c r="M900" s="2"/>
      <c r="N900" s="2"/>
      <c r="W900" s="2"/>
      <c r="X900" s="2"/>
      <c r="Y900" s="2"/>
      <c r="Z900" s="2"/>
      <c r="AA900" s="2"/>
      <c r="AB900" s="2"/>
      <c r="AC900" s="2"/>
      <c r="AD900" s="2"/>
      <c r="AE900" s="2"/>
    </row>
    <row r="901" spans="6:31" ht="12.5" x14ac:dyDescent="0.25">
      <c r="F901" s="2"/>
      <c r="I901" s="2"/>
      <c r="J901" s="2"/>
      <c r="M901" s="2"/>
      <c r="N901" s="2"/>
      <c r="W901" s="2"/>
      <c r="X901" s="2"/>
      <c r="Y901" s="2"/>
      <c r="Z901" s="2"/>
      <c r="AA901" s="2"/>
      <c r="AB901" s="2"/>
      <c r="AC901" s="2"/>
      <c r="AD901" s="2"/>
      <c r="AE901" s="2"/>
    </row>
    <row r="902" spans="6:31" ht="12.5" x14ac:dyDescent="0.25">
      <c r="F902" s="2"/>
      <c r="I902" s="2"/>
      <c r="J902" s="2"/>
      <c r="M902" s="2"/>
      <c r="N902" s="2"/>
      <c r="W902" s="2"/>
      <c r="X902" s="2"/>
      <c r="Y902" s="2"/>
      <c r="Z902" s="2"/>
      <c r="AA902" s="2"/>
      <c r="AB902" s="2"/>
      <c r="AC902" s="2"/>
      <c r="AD902" s="2"/>
      <c r="AE902" s="2"/>
    </row>
    <row r="903" spans="6:31" ht="12.5" x14ac:dyDescent="0.25">
      <c r="F903" s="2"/>
      <c r="I903" s="2"/>
      <c r="J903" s="2"/>
      <c r="M903" s="2"/>
      <c r="N903" s="2"/>
      <c r="W903" s="2"/>
      <c r="X903" s="2"/>
      <c r="Y903" s="2"/>
      <c r="Z903" s="2"/>
      <c r="AA903" s="2"/>
      <c r="AB903" s="2"/>
      <c r="AC903" s="2"/>
      <c r="AD903" s="2"/>
      <c r="AE903" s="2"/>
    </row>
    <row r="904" spans="6:31" ht="12.5" x14ac:dyDescent="0.25">
      <c r="F904" s="2"/>
      <c r="I904" s="2"/>
      <c r="J904" s="2"/>
      <c r="M904" s="2"/>
      <c r="N904" s="2"/>
      <c r="W904" s="2"/>
      <c r="X904" s="2"/>
      <c r="Y904" s="2"/>
      <c r="Z904" s="2"/>
      <c r="AA904" s="2"/>
      <c r="AB904" s="2"/>
      <c r="AC904" s="2"/>
      <c r="AD904" s="2"/>
      <c r="AE904" s="2"/>
    </row>
    <row r="905" spans="6:31" ht="12.5" x14ac:dyDescent="0.25">
      <c r="F905" s="2"/>
      <c r="I905" s="2"/>
      <c r="J905" s="2"/>
      <c r="M905" s="2"/>
      <c r="N905" s="2"/>
      <c r="W905" s="2"/>
      <c r="X905" s="2"/>
      <c r="Y905" s="2"/>
      <c r="Z905" s="2"/>
      <c r="AA905" s="2"/>
      <c r="AB905" s="2"/>
      <c r="AC905" s="2"/>
      <c r="AD905" s="2"/>
      <c r="AE905" s="2"/>
    </row>
    <row r="906" spans="6:31" ht="12.5" x14ac:dyDescent="0.25">
      <c r="F906" s="2"/>
      <c r="I906" s="2"/>
      <c r="J906" s="2"/>
      <c r="M906" s="2"/>
      <c r="N906" s="2"/>
      <c r="W906" s="2"/>
      <c r="X906" s="2"/>
      <c r="Y906" s="2"/>
      <c r="Z906" s="2"/>
      <c r="AA906" s="2"/>
      <c r="AB906" s="2"/>
      <c r="AC906" s="2"/>
      <c r="AD906" s="2"/>
      <c r="AE906" s="2"/>
    </row>
    <row r="907" spans="6:31" ht="12.5" x14ac:dyDescent="0.25">
      <c r="F907" s="2"/>
      <c r="I907" s="2"/>
      <c r="J907" s="2"/>
      <c r="M907" s="2"/>
      <c r="N907" s="2"/>
      <c r="W907" s="2"/>
      <c r="X907" s="2"/>
      <c r="Y907" s="2"/>
      <c r="Z907" s="2"/>
      <c r="AA907" s="2"/>
      <c r="AB907" s="2"/>
      <c r="AC907" s="2"/>
      <c r="AD907" s="2"/>
      <c r="AE907" s="2"/>
    </row>
    <row r="908" spans="6:31" ht="12.5" x14ac:dyDescent="0.25">
      <c r="F908" s="2"/>
      <c r="I908" s="2"/>
      <c r="J908" s="2"/>
      <c r="M908" s="2"/>
      <c r="N908" s="2"/>
      <c r="W908" s="2"/>
      <c r="X908" s="2"/>
      <c r="Y908" s="2"/>
      <c r="Z908" s="2"/>
      <c r="AA908" s="2"/>
      <c r="AB908" s="2"/>
      <c r="AC908" s="2"/>
      <c r="AD908" s="2"/>
      <c r="AE908" s="2"/>
    </row>
    <row r="909" spans="6:31" ht="12.5" x14ac:dyDescent="0.25">
      <c r="F909" s="2"/>
      <c r="I909" s="2"/>
      <c r="J909" s="2"/>
      <c r="M909" s="2"/>
      <c r="N909" s="2"/>
      <c r="W909" s="2"/>
      <c r="X909" s="2"/>
      <c r="Y909" s="2"/>
      <c r="Z909" s="2"/>
      <c r="AA909" s="2"/>
      <c r="AB909" s="2"/>
      <c r="AC909" s="2"/>
      <c r="AD909" s="2"/>
      <c r="AE909" s="2"/>
    </row>
    <row r="910" spans="6:31" ht="12.5" x14ac:dyDescent="0.25">
      <c r="F910" s="2"/>
      <c r="I910" s="2"/>
      <c r="J910" s="2"/>
      <c r="M910" s="2"/>
      <c r="N910" s="2"/>
      <c r="W910" s="2"/>
      <c r="X910" s="2"/>
      <c r="Y910" s="2"/>
      <c r="Z910" s="2"/>
      <c r="AA910" s="2"/>
      <c r="AB910" s="2"/>
      <c r="AC910" s="2"/>
      <c r="AD910" s="2"/>
      <c r="AE910" s="2"/>
    </row>
    <row r="911" spans="6:31" ht="12.5" x14ac:dyDescent="0.25">
      <c r="F911" s="2"/>
      <c r="I911" s="2"/>
      <c r="J911" s="2"/>
      <c r="M911" s="2"/>
      <c r="N911" s="2"/>
      <c r="W911" s="2"/>
      <c r="X911" s="2"/>
      <c r="Y911" s="2"/>
      <c r="Z911" s="2"/>
      <c r="AA911" s="2"/>
      <c r="AB911" s="2"/>
      <c r="AC911" s="2"/>
      <c r="AD911" s="2"/>
      <c r="AE911" s="2"/>
    </row>
    <row r="912" spans="6:31" ht="12.5" x14ac:dyDescent="0.25">
      <c r="F912" s="2"/>
      <c r="I912" s="2"/>
      <c r="J912" s="2"/>
      <c r="M912" s="2"/>
      <c r="N912" s="2"/>
      <c r="W912" s="2"/>
      <c r="X912" s="2"/>
      <c r="Y912" s="2"/>
      <c r="Z912" s="2"/>
      <c r="AA912" s="2"/>
      <c r="AB912" s="2"/>
      <c r="AC912" s="2"/>
      <c r="AD912" s="2"/>
      <c r="AE912" s="2"/>
    </row>
    <row r="913" spans="6:31" ht="12.5" x14ac:dyDescent="0.25">
      <c r="F913" s="2"/>
      <c r="I913" s="2"/>
      <c r="J913" s="2"/>
      <c r="M913" s="2"/>
      <c r="N913" s="2"/>
      <c r="W913" s="2"/>
      <c r="X913" s="2"/>
      <c r="Y913" s="2"/>
      <c r="Z913" s="2"/>
      <c r="AA913" s="2"/>
      <c r="AB913" s="2"/>
      <c r="AC913" s="2"/>
      <c r="AD913" s="2"/>
      <c r="AE913" s="2"/>
    </row>
    <row r="914" spans="6:31" ht="12.5" x14ac:dyDescent="0.25">
      <c r="F914" s="2"/>
      <c r="I914" s="2"/>
      <c r="J914" s="2"/>
      <c r="M914" s="2"/>
      <c r="N914" s="2"/>
      <c r="W914" s="2"/>
      <c r="X914" s="2"/>
      <c r="Y914" s="2"/>
      <c r="Z914" s="2"/>
      <c r="AA914" s="2"/>
      <c r="AB914" s="2"/>
      <c r="AC914" s="2"/>
      <c r="AD914" s="2"/>
      <c r="AE914" s="2"/>
    </row>
    <row r="915" spans="6:31" ht="12.5" x14ac:dyDescent="0.25">
      <c r="F915" s="2"/>
      <c r="I915" s="2"/>
      <c r="J915" s="2"/>
      <c r="M915" s="2"/>
      <c r="N915" s="2"/>
      <c r="W915" s="2"/>
      <c r="X915" s="2"/>
      <c r="Y915" s="2"/>
      <c r="Z915" s="2"/>
      <c r="AA915" s="2"/>
      <c r="AB915" s="2"/>
      <c r="AC915" s="2"/>
      <c r="AD915" s="2"/>
      <c r="AE915" s="2"/>
    </row>
    <row r="916" spans="6:31" ht="12.5" x14ac:dyDescent="0.25">
      <c r="F916" s="2"/>
      <c r="I916" s="2"/>
      <c r="J916" s="2"/>
      <c r="M916" s="2"/>
      <c r="N916" s="2"/>
      <c r="W916" s="2"/>
      <c r="X916" s="2"/>
      <c r="Y916" s="2"/>
      <c r="Z916" s="2"/>
      <c r="AA916" s="2"/>
      <c r="AB916" s="2"/>
      <c r="AC916" s="2"/>
      <c r="AD916" s="2"/>
      <c r="AE916" s="2"/>
    </row>
    <row r="917" spans="6:31" ht="12.5" x14ac:dyDescent="0.25">
      <c r="F917" s="2"/>
      <c r="I917" s="2"/>
      <c r="J917" s="2"/>
      <c r="M917" s="2"/>
      <c r="N917" s="2"/>
      <c r="W917" s="2"/>
      <c r="X917" s="2"/>
      <c r="Y917" s="2"/>
      <c r="Z917" s="2"/>
      <c r="AA917" s="2"/>
      <c r="AB917" s="2"/>
      <c r="AC917" s="2"/>
      <c r="AD917" s="2"/>
      <c r="AE917" s="2"/>
    </row>
    <row r="918" spans="6:31" ht="12.5" x14ac:dyDescent="0.25">
      <c r="F918" s="2"/>
      <c r="I918" s="2"/>
      <c r="J918" s="2"/>
      <c r="M918" s="2"/>
      <c r="N918" s="2"/>
      <c r="W918" s="2"/>
      <c r="X918" s="2"/>
      <c r="Y918" s="2"/>
      <c r="Z918" s="2"/>
      <c r="AA918" s="2"/>
      <c r="AB918" s="2"/>
      <c r="AC918" s="2"/>
      <c r="AD918" s="2"/>
      <c r="AE918" s="2"/>
    </row>
    <row r="919" spans="6:31" ht="12.5" x14ac:dyDescent="0.25">
      <c r="F919" s="2"/>
      <c r="I919" s="2"/>
      <c r="J919" s="2"/>
      <c r="M919" s="2"/>
      <c r="N919" s="2"/>
      <c r="W919" s="2"/>
      <c r="X919" s="2"/>
      <c r="Y919" s="2"/>
      <c r="Z919" s="2"/>
      <c r="AA919" s="2"/>
      <c r="AB919" s="2"/>
      <c r="AC919" s="2"/>
      <c r="AD919" s="2"/>
      <c r="AE919" s="2"/>
    </row>
    <row r="920" spans="6:31" ht="12.5" x14ac:dyDescent="0.25">
      <c r="F920" s="2"/>
      <c r="I920" s="2"/>
      <c r="J920" s="2"/>
      <c r="M920" s="2"/>
      <c r="N920" s="2"/>
      <c r="W920" s="2"/>
      <c r="X920" s="2"/>
      <c r="Y920" s="2"/>
      <c r="Z920" s="2"/>
      <c r="AA920" s="2"/>
      <c r="AB920" s="2"/>
      <c r="AC920" s="2"/>
      <c r="AD920" s="2"/>
      <c r="AE920" s="2"/>
    </row>
    <row r="921" spans="6:31" ht="12.5" x14ac:dyDescent="0.25">
      <c r="F921" s="2"/>
      <c r="I921" s="2"/>
      <c r="J921" s="2"/>
      <c r="M921" s="2"/>
      <c r="N921" s="2"/>
      <c r="W921" s="2"/>
      <c r="X921" s="2"/>
      <c r="Y921" s="2"/>
      <c r="Z921" s="2"/>
      <c r="AA921" s="2"/>
      <c r="AB921" s="2"/>
      <c r="AC921" s="2"/>
      <c r="AD921" s="2"/>
      <c r="AE921" s="2"/>
    </row>
    <row r="922" spans="6:31" ht="12.5" x14ac:dyDescent="0.25">
      <c r="F922" s="2"/>
      <c r="I922" s="2"/>
      <c r="J922" s="2"/>
      <c r="M922" s="2"/>
      <c r="N922" s="2"/>
      <c r="W922" s="2"/>
      <c r="X922" s="2"/>
      <c r="Y922" s="2"/>
      <c r="Z922" s="2"/>
      <c r="AA922" s="2"/>
      <c r="AB922" s="2"/>
      <c r="AC922" s="2"/>
      <c r="AD922" s="2"/>
      <c r="AE922" s="2"/>
    </row>
    <row r="923" spans="6:31" ht="12.5" x14ac:dyDescent="0.25">
      <c r="F923" s="2"/>
      <c r="I923" s="2"/>
      <c r="J923" s="2"/>
      <c r="M923" s="2"/>
      <c r="N923" s="2"/>
      <c r="W923" s="2"/>
      <c r="X923" s="2"/>
      <c r="Y923" s="2"/>
      <c r="Z923" s="2"/>
      <c r="AA923" s="2"/>
      <c r="AB923" s="2"/>
      <c r="AC923" s="2"/>
      <c r="AD923" s="2"/>
      <c r="AE923" s="2"/>
    </row>
    <row r="924" spans="6:31" ht="12.5" x14ac:dyDescent="0.25">
      <c r="F924" s="2"/>
      <c r="I924" s="2"/>
      <c r="J924" s="2"/>
      <c r="M924" s="2"/>
      <c r="N924" s="2"/>
      <c r="W924" s="2"/>
      <c r="X924" s="2"/>
      <c r="Y924" s="2"/>
      <c r="Z924" s="2"/>
      <c r="AA924" s="2"/>
      <c r="AB924" s="2"/>
      <c r="AC924" s="2"/>
      <c r="AD924" s="2"/>
      <c r="AE924" s="2"/>
    </row>
    <row r="925" spans="6:31" ht="12.5" x14ac:dyDescent="0.25">
      <c r="F925" s="2"/>
      <c r="I925" s="2"/>
      <c r="J925" s="2"/>
      <c r="M925" s="2"/>
      <c r="N925" s="2"/>
      <c r="W925" s="2"/>
      <c r="X925" s="2"/>
      <c r="Y925" s="2"/>
      <c r="Z925" s="2"/>
      <c r="AA925" s="2"/>
      <c r="AB925" s="2"/>
      <c r="AC925" s="2"/>
      <c r="AD925" s="2"/>
      <c r="AE925" s="2"/>
    </row>
    <row r="926" spans="6:31" ht="12.5" x14ac:dyDescent="0.25">
      <c r="F926" s="2"/>
      <c r="I926" s="2"/>
      <c r="J926" s="2"/>
      <c r="M926" s="2"/>
      <c r="N926" s="2"/>
      <c r="W926" s="2"/>
      <c r="X926" s="2"/>
      <c r="Y926" s="2"/>
      <c r="Z926" s="2"/>
      <c r="AA926" s="2"/>
      <c r="AB926" s="2"/>
      <c r="AC926" s="2"/>
      <c r="AD926" s="2"/>
      <c r="AE926" s="2"/>
    </row>
    <row r="927" spans="6:31" ht="12.5" x14ac:dyDescent="0.25">
      <c r="F927" s="2"/>
      <c r="I927" s="2"/>
      <c r="J927" s="2"/>
      <c r="M927" s="2"/>
      <c r="N927" s="2"/>
      <c r="W927" s="2"/>
      <c r="X927" s="2"/>
      <c r="Y927" s="2"/>
      <c r="Z927" s="2"/>
      <c r="AA927" s="2"/>
      <c r="AB927" s="2"/>
      <c r="AC927" s="2"/>
      <c r="AD927" s="2"/>
      <c r="AE927" s="2"/>
    </row>
    <row r="928" spans="6:31" ht="12.5" x14ac:dyDescent="0.25">
      <c r="F928" s="2"/>
      <c r="I928" s="2"/>
      <c r="J928" s="2"/>
      <c r="M928" s="2"/>
      <c r="N928" s="2"/>
      <c r="W928" s="2"/>
      <c r="X928" s="2"/>
      <c r="Y928" s="2"/>
      <c r="Z928" s="2"/>
      <c r="AA928" s="2"/>
      <c r="AB928" s="2"/>
      <c r="AC928" s="2"/>
      <c r="AD928" s="2"/>
      <c r="AE928" s="2"/>
    </row>
    <row r="929" spans="6:31" ht="12.5" x14ac:dyDescent="0.25">
      <c r="F929" s="2"/>
      <c r="I929" s="2"/>
      <c r="J929" s="2"/>
      <c r="M929" s="2"/>
      <c r="N929" s="2"/>
      <c r="W929" s="2"/>
      <c r="X929" s="2"/>
      <c r="Y929" s="2"/>
      <c r="Z929" s="2"/>
      <c r="AA929" s="2"/>
      <c r="AB929" s="2"/>
      <c r="AC929" s="2"/>
      <c r="AD929" s="2"/>
      <c r="AE929" s="2"/>
    </row>
    <row r="930" spans="6:31" ht="12.5" x14ac:dyDescent="0.25">
      <c r="F930" s="2"/>
      <c r="I930" s="2"/>
      <c r="J930" s="2"/>
      <c r="M930" s="2"/>
      <c r="N930" s="2"/>
      <c r="W930" s="2"/>
      <c r="X930" s="2"/>
      <c r="Y930" s="2"/>
      <c r="Z930" s="2"/>
      <c r="AA930" s="2"/>
      <c r="AB930" s="2"/>
      <c r="AC930" s="2"/>
      <c r="AD930" s="2"/>
      <c r="AE930" s="2"/>
    </row>
    <row r="931" spans="6:31" ht="12.5" x14ac:dyDescent="0.25">
      <c r="F931" s="2"/>
      <c r="I931" s="2"/>
      <c r="J931" s="2"/>
      <c r="M931" s="2"/>
      <c r="N931" s="2"/>
      <c r="W931" s="2"/>
      <c r="X931" s="2"/>
      <c r="Y931" s="2"/>
      <c r="Z931" s="2"/>
      <c r="AA931" s="2"/>
      <c r="AB931" s="2"/>
      <c r="AC931" s="2"/>
      <c r="AD931" s="2"/>
      <c r="AE931" s="2"/>
    </row>
    <row r="932" spans="6:31" ht="12.5" x14ac:dyDescent="0.25">
      <c r="F932" s="2"/>
      <c r="I932" s="2"/>
      <c r="J932" s="2"/>
      <c r="M932" s="2"/>
      <c r="N932" s="2"/>
      <c r="W932" s="2"/>
      <c r="X932" s="2"/>
      <c r="Y932" s="2"/>
      <c r="Z932" s="2"/>
      <c r="AA932" s="2"/>
      <c r="AB932" s="2"/>
      <c r="AC932" s="2"/>
      <c r="AD932" s="2"/>
      <c r="AE932" s="2"/>
    </row>
    <row r="933" spans="6:31" ht="12.5" x14ac:dyDescent="0.25">
      <c r="F933" s="2"/>
      <c r="I933" s="2"/>
      <c r="J933" s="2"/>
      <c r="M933" s="2"/>
      <c r="N933" s="2"/>
      <c r="W933" s="2"/>
      <c r="X933" s="2"/>
      <c r="Y933" s="2"/>
      <c r="Z933" s="2"/>
      <c r="AA933" s="2"/>
      <c r="AB933" s="2"/>
      <c r="AC933" s="2"/>
      <c r="AD933" s="2"/>
      <c r="AE933" s="2"/>
    </row>
    <row r="934" spans="6:31" ht="12.5" x14ac:dyDescent="0.25">
      <c r="F934" s="2"/>
      <c r="I934" s="2"/>
      <c r="J934" s="2"/>
      <c r="M934" s="2"/>
      <c r="N934" s="2"/>
      <c r="W934" s="2"/>
      <c r="X934" s="2"/>
      <c r="Y934" s="2"/>
      <c r="Z934" s="2"/>
      <c r="AA934" s="2"/>
      <c r="AB934" s="2"/>
      <c r="AC934" s="2"/>
      <c r="AD934" s="2"/>
      <c r="AE934" s="2"/>
    </row>
    <row r="935" spans="6:31" ht="12.5" x14ac:dyDescent="0.25">
      <c r="F935" s="2"/>
      <c r="I935" s="2"/>
      <c r="J935" s="2"/>
      <c r="M935" s="2"/>
      <c r="N935" s="2"/>
      <c r="W935" s="2"/>
      <c r="X935" s="2"/>
      <c r="Y935" s="2"/>
      <c r="Z935" s="2"/>
      <c r="AA935" s="2"/>
      <c r="AB935" s="2"/>
      <c r="AC935" s="2"/>
      <c r="AD935" s="2"/>
      <c r="AE935" s="2"/>
    </row>
    <row r="936" spans="6:31" ht="12.5" x14ac:dyDescent="0.25">
      <c r="F936" s="2"/>
      <c r="I936" s="2"/>
      <c r="J936" s="2"/>
      <c r="M936" s="2"/>
      <c r="N936" s="2"/>
      <c r="W936" s="2"/>
      <c r="X936" s="2"/>
      <c r="Y936" s="2"/>
      <c r="Z936" s="2"/>
      <c r="AA936" s="2"/>
      <c r="AB936" s="2"/>
      <c r="AC936" s="2"/>
      <c r="AD936" s="2"/>
      <c r="AE936" s="2"/>
    </row>
    <row r="937" spans="6:31" ht="12.5" x14ac:dyDescent="0.25">
      <c r="F937" s="2"/>
      <c r="I937" s="2"/>
      <c r="J937" s="2"/>
      <c r="M937" s="2"/>
      <c r="N937" s="2"/>
      <c r="W937" s="2"/>
      <c r="X937" s="2"/>
      <c r="Y937" s="2"/>
      <c r="Z937" s="2"/>
      <c r="AA937" s="2"/>
      <c r="AB937" s="2"/>
      <c r="AC937" s="2"/>
      <c r="AD937" s="2"/>
      <c r="AE937" s="2"/>
    </row>
    <row r="938" spans="6:31" ht="12.5" x14ac:dyDescent="0.25">
      <c r="F938" s="2"/>
      <c r="I938" s="2"/>
      <c r="J938" s="2"/>
      <c r="M938" s="2"/>
      <c r="N938" s="2"/>
      <c r="W938" s="2"/>
      <c r="X938" s="2"/>
      <c r="Y938" s="2"/>
      <c r="Z938" s="2"/>
      <c r="AA938" s="2"/>
      <c r="AB938" s="2"/>
      <c r="AC938" s="2"/>
      <c r="AD938" s="2"/>
      <c r="AE938" s="2"/>
    </row>
    <row r="939" spans="6:31" ht="12.5" x14ac:dyDescent="0.25">
      <c r="F939" s="2"/>
      <c r="I939" s="2"/>
      <c r="J939" s="2"/>
      <c r="M939" s="2"/>
      <c r="N939" s="2"/>
      <c r="W939" s="2"/>
      <c r="X939" s="2"/>
      <c r="Y939" s="2"/>
      <c r="Z939" s="2"/>
      <c r="AA939" s="2"/>
      <c r="AB939" s="2"/>
      <c r="AC939" s="2"/>
      <c r="AD939" s="2"/>
      <c r="AE939" s="2"/>
    </row>
    <row r="940" spans="6:31" ht="12.5" x14ac:dyDescent="0.25">
      <c r="F940" s="2"/>
      <c r="I940" s="2"/>
      <c r="J940" s="2"/>
      <c r="M940" s="2"/>
      <c r="N940" s="2"/>
      <c r="W940" s="2"/>
      <c r="X940" s="2"/>
      <c r="Y940" s="2"/>
      <c r="Z940" s="2"/>
      <c r="AA940" s="2"/>
      <c r="AB940" s="2"/>
      <c r="AC940" s="2"/>
      <c r="AD940" s="2"/>
      <c r="AE940" s="2"/>
    </row>
    <row r="941" spans="6:31" ht="12.5" x14ac:dyDescent="0.25">
      <c r="F941" s="2"/>
      <c r="I941" s="2"/>
      <c r="J941" s="2"/>
      <c r="M941" s="2"/>
      <c r="N941" s="2"/>
      <c r="W941" s="2"/>
      <c r="X941" s="2"/>
      <c r="Y941" s="2"/>
      <c r="Z941" s="2"/>
      <c r="AA941" s="2"/>
      <c r="AB941" s="2"/>
      <c r="AC941" s="2"/>
      <c r="AD941" s="2"/>
      <c r="AE941" s="2"/>
    </row>
    <row r="942" spans="6:31" ht="12.5" x14ac:dyDescent="0.25">
      <c r="F942" s="2"/>
      <c r="I942" s="2"/>
      <c r="J942" s="2"/>
      <c r="M942" s="2"/>
      <c r="N942" s="2"/>
      <c r="W942" s="2"/>
      <c r="X942" s="2"/>
      <c r="Y942" s="2"/>
      <c r="Z942" s="2"/>
      <c r="AA942" s="2"/>
      <c r="AB942" s="2"/>
      <c r="AC942" s="2"/>
      <c r="AD942" s="2"/>
      <c r="AE942" s="2"/>
    </row>
    <row r="943" spans="6:31" ht="12.5" x14ac:dyDescent="0.25">
      <c r="F943" s="2"/>
      <c r="I943" s="2"/>
      <c r="J943" s="2"/>
      <c r="M943" s="2"/>
      <c r="N943" s="2"/>
      <c r="W943" s="2"/>
      <c r="X943" s="2"/>
      <c r="Y943" s="2"/>
      <c r="Z943" s="2"/>
      <c r="AA943" s="2"/>
      <c r="AB943" s="2"/>
      <c r="AC943" s="2"/>
      <c r="AD943" s="2"/>
      <c r="AE943" s="2"/>
    </row>
    <row r="944" spans="6:31" ht="12.5" x14ac:dyDescent="0.25">
      <c r="F944" s="2"/>
      <c r="I944" s="2"/>
      <c r="J944" s="2"/>
      <c r="M944" s="2"/>
      <c r="N944" s="2"/>
      <c r="W944" s="2"/>
      <c r="X944" s="2"/>
      <c r="Y944" s="2"/>
      <c r="Z944" s="2"/>
      <c r="AA944" s="2"/>
      <c r="AB944" s="2"/>
      <c r="AC944" s="2"/>
      <c r="AD944" s="2"/>
      <c r="AE944" s="2"/>
    </row>
    <row r="945" spans="6:31" ht="12.5" x14ac:dyDescent="0.25">
      <c r="F945" s="2"/>
      <c r="I945" s="2"/>
      <c r="J945" s="2"/>
      <c r="M945" s="2"/>
      <c r="N945" s="2"/>
      <c r="W945" s="2"/>
      <c r="X945" s="2"/>
      <c r="Y945" s="2"/>
      <c r="Z945" s="2"/>
      <c r="AA945" s="2"/>
      <c r="AB945" s="2"/>
      <c r="AC945" s="2"/>
      <c r="AD945" s="2"/>
      <c r="AE945" s="2"/>
    </row>
    <row r="946" spans="6:31" ht="12.5" x14ac:dyDescent="0.25">
      <c r="F946" s="2"/>
      <c r="I946" s="2"/>
      <c r="J946" s="2"/>
      <c r="M946" s="2"/>
      <c r="N946" s="2"/>
      <c r="W946" s="2"/>
      <c r="X946" s="2"/>
      <c r="Y946" s="2"/>
      <c r="Z946" s="2"/>
      <c r="AA946" s="2"/>
      <c r="AB946" s="2"/>
      <c r="AC946" s="2"/>
      <c r="AD946" s="2"/>
      <c r="AE946" s="2"/>
    </row>
    <row r="947" spans="6:31" ht="12.5" x14ac:dyDescent="0.25">
      <c r="F947" s="2"/>
      <c r="I947" s="2"/>
      <c r="J947" s="2"/>
      <c r="M947" s="2"/>
      <c r="N947" s="2"/>
      <c r="W947" s="2"/>
      <c r="X947" s="2"/>
      <c r="Y947" s="2"/>
      <c r="Z947" s="2"/>
      <c r="AA947" s="2"/>
      <c r="AB947" s="2"/>
      <c r="AC947" s="2"/>
      <c r="AD947" s="2"/>
      <c r="AE947" s="2"/>
    </row>
    <row r="948" spans="6:31" ht="12.5" x14ac:dyDescent="0.25">
      <c r="F948" s="2"/>
      <c r="I948" s="2"/>
      <c r="J948" s="2"/>
      <c r="M948" s="2"/>
      <c r="N948" s="2"/>
      <c r="W948" s="2"/>
      <c r="X948" s="2"/>
      <c r="Y948" s="2"/>
      <c r="Z948" s="2"/>
      <c r="AA948" s="2"/>
      <c r="AB948" s="2"/>
      <c r="AC948" s="2"/>
      <c r="AD948" s="2"/>
      <c r="AE948" s="2"/>
    </row>
    <row r="949" spans="6:31" ht="12.5" x14ac:dyDescent="0.25">
      <c r="F949" s="2"/>
      <c r="I949" s="2"/>
      <c r="J949" s="2"/>
      <c r="M949" s="2"/>
      <c r="N949" s="2"/>
      <c r="W949" s="2"/>
      <c r="X949" s="2"/>
      <c r="Y949" s="2"/>
      <c r="Z949" s="2"/>
      <c r="AA949" s="2"/>
      <c r="AB949" s="2"/>
      <c r="AC949" s="2"/>
      <c r="AD949" s="2"/>
      <c r="AE949" s="2"/>
    </row>
    <row r="950" spans="6:31" ht="12.5" x14ac:dyDescent="0.25">
      <c r="F950" s="2"/>
      <c r="I950" s="2"/>
      <c r="J950" s="2"/>
      <c r="M950" s="2"/>
      <c r="N950" s="2"/>
      <c r="W950" s="2"/>
      <c r="X950" s="2"/>
      <c r="Y950" s="2"/>
      <c r="Z950" s="2"/>
      <c r="AA950" s="2"/>
      <c r="AB950" s="2"/>
      <c r="AC950" s="2"/>
      <c r="AD950" s="2"/>
      <c r="AE950" s="2"/>
    </row>
    <row r="951" spans="6:31" ht="12.5" x14ac:dyDescent="0.25">
      <c r="F951" s="2"/>
      <c r="I951" s="2"/>
      <c r="J951" s="2"/>
      <c r="M951" s="2"/>
      <c r="N951" s="2"/>
      <c r="W951" s="2"/>
      <c r="X951" s="2"/>
      <c r="Y951" s="2"/>
      <c r="Z951" s="2"/>
      <c r="AA951" s="2"/>
      <c r="AB951" s="2"/>
      <c r="AC951" s="2"/>
      <c r="AD951" s="2"/>
      <c r="AE951" s="2"/>
    </row>
    <row r="952" spans="6:31" ht="12.5" x14ac:dyDescent="0.25">
      <c r="F952" s="2"/>
      <c r="I952" s="2"/>
      <c r="J952" s="2"/>
      <c r="M952" s="2"/>
      <c r="N952" s="2"/>
      <c r="W952" s="2"/>
      <c r="X952" s="2"/>
      <c r="Y952" s="2"/>
      <c r="Z952" s="2"/>
      <c r="AA952" s="2"/>
      <c r="AB952" s="2"/>
      <c r="AC952" s="2"/>
      <c r="AD952" s="2"/>
      <c r="AE952" s="2"/>
    </row>
    <row r="953" spans="6:31" ht="12.5" x14ac:dyDescent="0.25">
      <c r="F953" s="2"/>
      <c r="I953" s="2"/>
      <c r="J953" s="2"/>
      <c r="M953" s="2"/>
      <c r="N953" s="2"/>
      <c r="W953" s="2"/>
      <c r="X953" s="2"/>
      <c r="Y953" s="2"/>
      <c r="Z953" s="2"/>
      <c r="AA953" s="2"/>
      <c r="AB953" s="2"/>
      <c r="AC953" s="2"/>
      <c r="AD953" s="2"/>
      <c r="AE953" s="2"/>
    </row>
    <row r="954" spans="6:31" ht="12.5" x14ac:dyDescent="0.25">
      <c r="F954" s="2"/>
      <c r="I954" s="2"/>
      <c r="J954" s="2"/>
      <c r="M954" s="2"/>
      <c r="N954" s="2"/>
      <c r="W954" s="2"/>
      <c r="X954" s="2"/>
      <c r="Y954" s="2"/>
      <c r="Z954" s="2"/>
      <c r="AA954" s="2"/>
      <c r="AB954" s="2"/>
      <c r="AC954" s="2"/>
      <c r="AD954" s="2"/>
      <c r="AE954" s="2"/>
    </row>
    <row r="955" spans="6:31" ht="12.5" x14ac:dyDescent="0.25">
      <c r="F955" s="2"/>
      <c r="I955" s="2"/>
      <c r="J955" s="2"/>
      <c r="M955" s="2"/>
      <c r="N955" s="2"/>
      <c r="W955" s="2"/>
      <c r="X955" s="2"/>
      <c r="Y955" s="2"/>
      <c r="Z955" s="2"/>
      <c r="AA955" s="2"/>
      <c r="AB955" s="2"/>
      <c r="AC955" s="2"/>
      <c r="AD955" s="2"/>
      <c r="AE955" s="2"/>
    </row>
    <row r="956" spans="6:31" ht="12.5" x14ac:dyDescent="0.25">
      <c r="F956" s="2"/>
      <c r="I956" s="2"/>
      <c r="J956" s="2"/>
      <c r="M956" s="2"/>
      <c r="N956" s="2"/>
      <c r="W956" s="2"/>
      <c r="X956" s="2"/>
      <c r="Y956" s="2"/>
      <c r="Z956" s="2"/>
      <c r="AA956" s="2"/>
      <c r="AB956" s="2"/>
      <c r="AC956" s="2"/>
      <c r="AD956" s="2"/>
      <c r="AE956" s="2"/>
    </row>
    <row r="957" spans="6:31" ht="12.5" x14ac:dyDescent="0.25">
      <c r="F957" s="2"/>
      <c r="I957" s="2"/>
      <c r="J957" s="2"/>
      <c r="M957" s="2"/>
      <c r="N957" s="2"/>
      <c r="W957" s="2"/>
      <c r="X957" s="2"/>
      <c r="Y957" s="2"/>
      <c r="Z957" s="2"/>
      <c r="AA957" s="2"/>
      <c r="AB957" s="2"/>
      <c r="AC957" s="2"/>
      <c r="AD957" s="2"/>
      <c r="AE957" s="2"/>
    </row>
    <row r="958" spans="6:31" ht="12.5" x14ac:dyDescent="0.25">
      <c r="F958" s="2"/>
      <c r="I958" s="2"/>
      <c r="J958" s="2"/>
      <c r="M958" s="2"/>
      <c r="N958" s="2"/>
      <c r="W958" s="2"/>
      <c r="X958" s="2"/>
      <c r="Y958" s="2"/>
      <c r="Z958" s="2"/>
      <c r="AA958" s="2"/>
      <c r="AB958" s="2"/>
      <c r="AC958" s="2"/>
      <c r="AD958" s="2"/>
      <c r="AE958" s="2"/>
    </row>
    <row r="959" spans="6:31" ht="12.5" x14ac:dyDescent="0.25">
      <c r="F959" s="2"/>
      <c r="I959" s="2"/>
      <c r="J959" s="2"/>
      <c r="M959" s="2"/>
      <c r="N959" s="2"/>
      <c r="W959" s="2"/>
      <c r="X959" s="2"/>
      <c r="Y959" s="2"/>
      <c r="Z959" s="2"/>
      <c r="AA959" s="2"/>
      <c r="AB959" s="2"/>
      <c r="AC959" s="2"/>
      <c r="AD959" s="2"/>
      <c r="AE959" s="2"/>
    </row>
    <row r="960" spans="6:31" ht="12.5" x14ac:dyDescent="0.25">
      <c r="F960" s="2"/>
      <c r="I960" s="2"/>
      <c r="J960" s="2"/>
      <c r="M960" s="2"/>
      <c r="N960" s="2"/>
      <c r="W960" s="2"/>
      <c r="X960" s="2"/>
      <c r="Y960" s="2"/>
      <c r="Z960" s="2"/>
      <c r="AA960" s="2"/>
      <c r="AB960" s="2"/>
      <c r="AC960" s="2"/>
      <c r="AD960" s="2"/>
      <c r="AE960" s="2"/>
    </row>
    <row r="961" spans="6:31" ht="12.5" x14ac:dyDescent="0.25">
      <c r="F961" s="2"/>
      <c r="I961" s="2"/>
      <c r="J961" s="2"/>
      <c r="M961" s="2"/>
      <c r="N961" s="2"/>
      <c r="W961" s="2"/>
      <c r="X961" s="2"/>
      <c r="Y961" s="2"/>
      <c r="Z961" s="2"/>
      <c r="AA961" s="2"/>
      <c r="AB961" s="2"/>
      <c r="AC961" s="2"/>
      <c r="AD961" s="2"/>
      <c r="AE961" s="2"/>
    </row>
    <row r="962" spans="6:31" ht="12.5" x14ac:dyDescent="0.25">
      <c r="F962" s="2"/>
      <c r="I962" s="2"/>
      <c r="J962" s="2"/>
      <c r="M962" s="2"/>
      <c r="N962" s="2"/>
      <c r="W962" s="2"/>
      <c r="X962" s="2"/>
      <c r="Y962" s="2"/>
      <c r="Z962" s="2"/>
      <c r="AA962" s="2"/>
      <c r="AB962" s="2"/>
      <c r="AC962" s="2"/>
      <c r="AD962" s="2"/>
      <c r="AE962" s="2"/>
    </row>
    <row r="963" spans="6:31" ht="12.5" x14ac:dyDescent="0.25">
      <c r="F963" s="2"/>
      <c r="I963" s="2"/>
      <c r="J963" s="2"/>
      <c r="M963" s="2"/>
      <c r="N963" s="2"/>
      <c r="W963" s="2"/>
      <c r="X963" s="2"/>
      <c r="Y963" s="2"/>
      <c r="Z963" s="2"/>
      <c r="AA963" s="2"/>
      <c r="AB963" s="2"/>
      <c r="AC963" s="2"/>
      <c r="AD963" s="2"/>
      <c r="AE963" s="2"/>
    </row>
    <row r="964" spans="6:31" ht="12.5" x14ac:dyDescent="0.25">
      <c r="F964" s="2"/>
      <c r="I964" s="2"/>
      <c r="J964" s="2"/>
      <c r="M964" s="2"/>
      <c r="N964" s="2"/>
      <c r="W964" s="2"/>
      <c r="X964" s="2"/>
      <c r="Y964" s="2"/>
      <c r="Z964" s="2"/>
      <c r="AA964" s="2"/>
      <c r="AB964" s="2"/>
      <c r="AC964" s="2"/>
      <c r="AD964" s="2"/>
      <c r="AE964" s="2"/>
    </row>
    <row r="965" spans="6:31" ht="12.5" x14ac:dyDescent="0.25">
      <c r="F965" s="2"/>
      <c r="I965" s="2"/>
      <c r="J965" s="2"/>
      <c r="M965" s="2"/>
      <c r="N965" s="2"/>
      <c r="W965" s="2"/>
      <c r="X965" s="2"/>
      <c r="Y965" s="2"/>
      <c r="Z965" s="2"/>
      <c r="AA965" s="2"/>
      <c r="AB965" s="2"/>
      <c r="AC965" s="2"/>
      <c r="AD965" s="2"/>
      <c r="AE965" s="2"/>
    </row>
    <row r="966" spans="6:31" ht="12.5" x14ac:dyDescent="0.25">
      <c r="F966" s="2"/>
      <c r="I966" s="2"/>
      <c r="J966" s="2"/>
      <c r="M966" s="2"/>
      <c r="N966" s="2"/>
      <c r="W966" s="2"/>
      <c r="X966" s="2"/>
      <c r="Y966" s="2"/>
      <c r="Z966" s="2"/>
      <c r="AA966" s="2"/>
      <c r="AB966" s="2"/>
      <c r="AC966" s="2"/>
      <c r="AD966" s="2"/>
      <c r="AE966" s="2"/>
    </row>
    <row r="967" spans="6:31" ht="12.5" x14ac:dyDescent="0.25">
      <c r="F967" s="2"/>
      <c r="I967" s="2"/>
      <c r="J967" s="2"/>
      <c r="M967" s="2"/>
      <c r="N967" s="2"/>
      <c r="W967" s="2"/>
      <c r="X967" s="2"/>
      <c r="Y967" s="2"/>
      <c r="Z967" s="2"/>
      <c r="AA967" s="2"/>
      <c r="AB967" s="2"/>
      <c r="AC967" s="2"/>
      <c r="AD967" s="2"/>
      <c r="AE967" s="2"/>
    </row>
    <row r="968" spans="6:31" ht="12.5" x14ac:dyDescent="0.25">
      <c r="F968" s="2"/>
      <c r="I968" s="2"/>
      <c r="J968" s="2"/>
      <c r="M968" s="2"/>
      <c r="N968" s="2"/>
      <c r="W968" s="2"/>
      <c r="X968" s="2"/>
      <c r="Y968" s="2"/>
      <c r="Z968" s="2"/>
      <c r="AA968" s="2"/>
      <c r="AB968" s="2"/>
      <c r="AC968" s="2"/>
      <c r="AD968" s="2"/>
      <c r="AE968" s="2"/>
    </row>
    <row r="969" spans="6:31" ht="12.5" x14ac:dyDescent="0.25">
      <c r="F969" s="2"/>
      <c r="I969" s="2"/>
      <c r="J969" s="2"/>
      <c r="M969" s="2"/>
      <c r="N969" s="2"/>
      <c r="W969" s="2"/>
      <c r="X969" s="2"/>
      <c r="Y969" s="2"/>
      <c r="Z969" s="2"/>
      <c r="AA969" s="2"/>
      <c r="AB969" s="2"/>
      <c r="AC969" s="2"/>
      <c r="AD969" s="2"/>
      <c r="AE969" s="2"/>
    </row>
    <row r="970" spans="6:31" ht="12.5" x14ac:dyDescent="0.25">
      <c r="F970" s="2"/>
      <c r="I970" s="2"/>
      <c r="J970" s="2"/>
      <c r="M970" s="2"/>
      <c r="N970" s="2"/>
      <c r="W970" s="2"/>
      <c r="X970" s="2"/>
      <c r="Y970" s="2"/>
      <c r="Z970" s="2"/>
      <c r="AA970" s="2"/>
      <c r="AB970" s="2"/>
      <c r="AC970" s="2"/>
      <c r="AD970" s="2"/>
      <c r="AE970" s="2"/>
    </row>
    <row r="971" spans="6:31" ht="12.5" x14ac:dyDescent="0.25">
      <c r="F971" s="2"/>
      <c r="I971" s="2"/>
      <c r="J971" s="2"/>
      <c r="M971" s="2"/>
      <c r="N971" s="2"/>
      <c r="W971" s="2"/>
      <c r="X971" s="2"/>
      <c r="Y971" s="2"/>
      <c r="Z971" s="2"/>
      <c r="AA971" s="2"/>
      <c r="AB971" s="2"/>
      <c r="AC971" s="2"/>
      <c r="AD971" s="2"/>
      <c r="AE971" s="2"/>
    </row>
    <row r="972" spans="6:31" ht="12.5" x14ac:dyDescent="0.25">
      <c r="F972" s="2"/>
      <c r="I972" s="2"/>
      <c r="J972" s="2"/>
      <c r="M972" s="2"/>
      <c r="N972" s="2"/>
      <c r="W972" s="2"/>
      <c r="X972" s="2"/>
      <c r="Y972" s="2"/>
      <c r="Z972" s="2"/>
      <c r="AA972" s="2"/>
      <c r="AB972" s="2"/>
      <c r="AC972" s="2"/>
      <c r="AD972" s="2"/>
      <c r="AE972" s="2"/>
    </row>
    <row r="973" spans="6:31" ht="12.5" x14ac:dyDescent="0.25">
      <c r="F973" s="2"/>
      <c r="I973" s="2"/>
      <c r="J973" s="2"/>
      <c r="M973" s="2"/>
      <c r="N973" s="2"/>
      <c r="W973" s="2"/>
      <c r="X973" s="2"/>
      <c r="Y973" s="2"/>
      <c r="Z973" s="2"/>
      <c r="AA973" s="2"/>
      <c r="AB973" s="2"/>
      <c r="AC973" s="2"/>
      <c r="AD973" s="2"/>
      <c r="AE973" s="2"/>
    </row>
    <row r="974" spans="6:31" ht="12.5" x14ac:dyDescent="0.25">
      <c r="F974" s="2"/>
      <c r="I974" s="2"/>
      <c r="J974" s="2"/>
      <c r="M974" s="2"/>
      <c r="N974" s="2"/>
      <c r="W974" s="2"/>
      <c r="X974" s="2"/>
      <c r="Y974" s="2"/>
      <c r="Z974" s="2"/>
      <c r="AA974" s="2"/>
      <c r="AB974" s="2"/>
      <c r="AC974" s="2"/>
      <c r="AD974" s="2"/>
      <c r="AE974" s="2"/>
    </row>
    <row r="975" spans="6:31" ht="12.5" x14ac:dyDescent="0.25">
      <c r="F975" s="2"/>
      <c r="I975" s="2"/>
      <c r="J975" s="2"/>
      <c r="M975" s="2"/>
      <c r="N975" s="2"/>
      <c r="W975" s="2"/>
      <c r="X975" s="2"/>
      <c r="Y975" s="2"/>
      <c r="Z975" s="2"/>
      <c r="AA975" s="2"/>
      <c r="AB975" s="2"/>
      <c r="AC975" s="2"/>
      <c r="AD975" s="2"/>
      <c r="AE975" s="2"/>
    </row>
    <row r="976" spans="6:31" ht="12.5" x14ac:dyDescent="0.25">
      <c r="F976" s="2"/>
      <c r="I976" s="2"/>
      <c r="J976" s="2"/>
      <c r="M976" s="2"/>
      <c r="N976" s="2"/>
      <c r="W976" s="2"/>
      <c r="X976" s="2"/>
      <c r="Y976" s="2"/>
      <c r="Z976" s="2"/>
      <c r="AA976" s="2"/>
      <c r="AB976" s="2"/>
      <c r="AC976" s="2"/>
      <c r="AD976" s="2"/>
      <c r="AE976" s="2"/>
    </row>
    <row r="977" spans="6:31" ht="12.5" x14ac:dyDescent="0.25">
      <c r="F977" s="2"/>
      <c r="I977" s="2"/>
      <c r="J977" s="2"/>
      <c r="M977" s="2"/>
      <c r="N977" s="2"/>
      <c r="W977" s="2"/>
      <c r="X977" s="2"/>
      <c r="Y977" s="2"/>
      <c r="Z977" s="2"/>
      <c r="AA977" s="2"/>
      <c r="AB977" s="2"/>
      <c r="AC977" s="2"/>
      <c r="AD977" s="2"/>
      <c r="AE977" s="2"/>
    </row>
    <row r="978" spans="6:31" ht="12.5" x14ac:dyDescent="0.25">
      <c r="F978" s="2"/>
      <c r="I978" s="2"/>
      <c r="J978" s="2"/>
      <c r="M978" s="2"/>
      <c r="N978" s="2"/>
      <c r="W978" s="2"/>
      <c r="X978" s="2"/>
      <c r="Y978" s="2"/>
      <c r="Z978" s="2"/>
      <c r="AA978" s="2"/>
      <c r="AB978" s="2"/>
      <c r="AC978" s="2"/>
      <c r="AD978" s="2"/>
      <c r="AE978" s="2"/>
    </row>
    <row r="979" spans="6:31" ht="12.5" x14ac:dyDescent="0.25">
      <c r="F979" s="2"/>
      <c r="I979" s="2"/>
      <c r="J979" s="2"/>
      <c r="M979" s="2"/>
      <c r="N979" s="2"/>
      <c r="W979" s="2"/>
      <c r="X979" s="2"/>
      <c r="Y979" s="2"/>
      <c r="Z979" s="2"/>
      <c r="AA979" s="2"/>
      <c r="AB979" s="2"/>
      <c r="AC979" s="2"/>
      <c r="AD979" s="2"/>
      <c r="AE979" s="2"/>
    </row>
    <row r="980" spans="6:31" ht="12.5" x14ac:dyDescent="0.25">
      <c r="F980" s="2"/>
      <c r="I980" s="2"/>
      <c r="J980" s="2"/>
      <c r="M980" s="2"/>
      <c r="N980" s="2"/>
      <c r="W980" s="2"/>
      <c r="X980" s="2"/>
      <c r="Y980" s="2"/>
      <c r="Z980" s="2"/>
      <c r="AA980" s="2"/>
      <c r="AB980" s="2"/>
      <c r="AC980" s="2"/>
      <c r="AD980" s="2"/>
      <c r="AE980" s="2"/>
    </row>
    <row r="981" spans="6:31" ht="12.5" x14ac:dyDescent="0.25">
      <c r="F981" s="2"/>
      <c r="I981" s="2"/>
      <c r="J981" s="2"/>
      <c r="M981" s="2"/>
      <c r="N981" s="2"/>
      <c r="W981" s="2"/>
      <c r="X981" s="2"/>
      <c r="Y981" s="2"/>
      <c r="Z981" s="2"/>
      <c r="AA981" s="2"/>
      <c r="AB981" s="2"/>
      <c r="AC981" s="2"/>
      <c r="AD981" s="2"/>
      <c r="AE981" s="2"/>
    </row>
    <row r="982" spans="6:31" ht="12.5" x14ac:dyDescent="0.25">
      <c r="F982" s="2"/>
      <c r="I982" s="2"/>
      <c r="J982" s="2"/>
      <c r="M982" s="2"/>
      <c r="N982" s="2"/>
      <c r="W982" s="2"/>
      <c r="X982" s="2"/>
      <c r="Y982" s="2"/>
      <c r="Z982" s="2"/>
      <c r="AA982" s="2"/>
      <c r="AB982" s="2"/>
      <c r="AC982" s="2"/>
      <c r="AD982" s="2"/>
      <c r="AE982" s="2"/>
    </row>
    <row r="983" spans="6:31" ht="12.5" x14ac:dyDescent="0.25">
      <c r="F983" s="2"/>
      <c r="I983" s="2"/>
      <c r="J983" s="2"/>
      <c r="M983" s="2"/>
      <c r="N983" s="2"/>
      <c r="W983" s="2"/>
      <c r="X983" s="2"/>
      <c r="Y983" s="2"/>
      <c r="Z983" s="2"/>
      <c r="AA983" s="2"/>
      <c r="AB983" s="2"/>
      <c r="AC983" s="2"/>
      <c r="AD983" s="2"/>
      <c r="AE983" s="2"/>
    </row>
    <row r="984" spans="6:31" ht="12.5" x14ac:dyDescent="0.25">
      <c r="F984" s="2"/>
      <c r="I984" s="2"/>
      <c r="J984" s="2"/>
      <c r="M984" s="2"/>
      <c r="N984" s="2"/>
      <c r="W984" s="2"/>
      <c r="X984" s="2"/>
      <c r="Y984" s="2"/>
      <c r="Z984" s="2"/>
      <c r="AA984" s="2"/>
      <c r="AB984" s="2"/>
      <c r="AC984" s="2"/>
      <c r="AD984" s="2"/>
      <c r="AE984" s="2"/>
    </row>
    <row r="985" spans="6:31" ht="12.5" x14ac:dyDescent="0.25">
      <c r="F985" s="2"/>
      <c r="I985" s="2"/>
      <c r="J985" s="2"/>
      <c r="M985" s="2"/>
      <c r="N985" s="2"/>
      <c r="W985" s="2"/>
      <c r="X985" s="2"/>
      <c r="Y985" s="2"/>
      <c r="Z985" s="2"/>
      <c r="AA985" s="2"/>
      <c r="AB985" s="2"/>
      <c r="AC985" s="2"/>
      <c r="AD985" s="2"/>
      <c r="AE985" s="2"/>
    </row>
    <row r="986" spans="6:31" ht="12.5" x14ac:dyDescent="0.25">
      <c r="F986" s="2"/>
      <c r="I986" s="2"/>
      <c r="J986" s="2"/>
      <c r="M986" s="2"/>
      <c r="N986" s="2"/>
      <c r="W986" s="2"/>
      <c r="X986" s="2"/>
      <c r="Y986" s="2"/>
      <c r="Z986" s="2"/>
      <c r="AA986" s="2"/>
      <c r="AB986" s="2"/>
      <c r="AC986" s="2"/>
      <c r="AD986" s="2"/>
      <c r="AE986" s="2"/>
    </row>
    <row r="987" spans="6:31" ht="12.5" x14ac:dyDescent="0.25">
      <c r="F987" s="2"/>
      <c r="I987" s="2"/>
      <c r="J987" s="2"/>
      <c r="M987" s="2"/>
      <c r="N987" s="2"/>
      <c r="W987" s="2"/>
      <c r="X987" s="2"/>
      <c r="Y987" s="2"/>
      <c r="Z987" s="2"/>
      <c r="AA987" s="2"/>
      <c r="AB987" s="2"/>
      <c r="AC987" s="2"/>
      <c r="AD987" s="2"/>
      <c r="AE987" s="2"/>
    </row>
    <row r="988" spans="6:31" ht="12.5" x14ac:dyDescent="0.25">
      <c r="F988" s="2"/>
      <c r="I988" s="2"/>
      <c r="J988" s="2"/>
      <c r="M988" s="2"/>
      <c r="N988" s="2"/>
      <c r="W988" s="2"/>
      <c r="X988" s="2"/>
      <c r="Y988" s="2"/>
      <c r="Z988" s="2"/>
      <c r="AA988" s="2"/>
      <c r="AB988" s="2"/>
      <c r="AC988" s="2"/>
      <c r="AD988" s="2"/>
      <c r="AE988" s="2"/>
    </row>
    <row r="989" spans="6:31" ht="12.5" x14ac:dyDescent="0.25">
      <c r="F989" s="2"/>
      <c r="I989" s="2"/>
      <c r="J989" s="2"/>
      <c r="M989" s="2"/>
      <c r="N989" s="2"/>
      <c r="W989" s="2"/>
      <c r="X989" s="2"/>
      <c r="Y989" s="2"/>
      <c r="Z989" s="2"/>
      <c r="AA989" s="2"/>
      <c r="AB989" s="2"/>
      <c r="AC989" s="2"/>
      <c r="AD989" s="2"/>
      <c r="AE989" s="2"/>
    </row>
    <row r="990" spans="6:31" ht="12.5" x14ac:dyDescent="0.25">
      <c r="F990" s="2"/>
      <c r="I990" s="2"/>
      <c r="J990" s="2"/>
      <c r="M990" s="2"/>
      <c r="N990" s="2"/>
      <c r="W990" s="2"/>
      <c r="X990" s="2"/>
      <c r="Y990" s="2"/>
      <c r="Z990" s="2"/>
      <c r="AA990" s="2"/>
      <c r="AB990" s="2"/>
      <c r="AC990" s="2"/>
      <c r="AD990" s="2"/>
      <c r="AE990" s="2"/>
    </row>
    <row r="991" spans="6:31" ht="12.5" x14ac:dyDescent="0.25">
      <c r="F991" s="2"/>
      <c r="I991" s="2"/>
      <c r="J991" s="2"/>
      <c r="M991" s="2"/>
      <c r="N991" s="2"/>
      <c r="W991" s="2"/>
      <c r="X991" s="2"/>
      <c r="Y991" s="2"/>
      <c r="Z991" s="2"/>
      <c r="AA991" s="2"/>
      <c r="AB991" s="2"/>
      <c r="AC991" s="2"/>
      <c r="AD991" s="2"/>
      <c r="AE991" s="2"/>
    </row>
    <row r="992" spans="6:31" ht="12.5" x14ac:dyDescent="0.25">
      <c r="F992" s="2"/>
      <c r="I992" s="2"/>
      <c r="J992" s="2"/>
      <c r="M992" s="2"/>
      <c r="N992" s="2"/>
      <c r="W992" s="2"/>
      <c r="X992" s="2"/>
      <c r="Y992" s="2"/>
      <c r="Z992" s="2"/>
      <c r="AA992" s="2"/>
      <c r="AB992" s="2"/>
      <c r="AC992" s="2"/>
      <c r="AD992" s="2"/>
      <c r="AE992" s="2"/>
    </row>
    <row r="993" spans="6:31" ht="12.5" x14ac:dyDescent="0.25">
      <c r="F993" s="2"/>
      <c r="I993" s="2"/>
      <c r="J993" s="2"/>
      <c r="M993" s="2"/>
      <c r="N993" s="2"/>
      <c r="W993" s="2"/>
      <c r="X993" s="2"/>
      <c r="Y993" s="2"/>
      <c r="Z993" s="2"/>
      <c r="AA993" s="2"/>
      <c r="AB993" s="2"/>
      <c r="AC993" s="2"/>
      <c r="AD993" s="2"/>
      <c r="AE993" s="2"/>
    </row>
    <row r="994" spans="6:31" ht="12.5" x14ac:dyDescent="0.25">
      <c r="F994" s="2"/>
      <c r="I994" s="2"/>
      <c r="J994" s="2"/>
      <c r="M994" s="2"/>
      <c r="N994" s="2"/>
      <c r="W994" s="2"/>
      <c r="X994" s="2"/>
      <c r="Y994" s="2"/>
      <c r="Z994" s="2"/>
      <c r="AA994" s="2"/>
      <c r="AB994" s="2"/>
      <c r="AC994" s="2"/>
      <c r="AD994" s="2"/>
      <c r="AE994" s="2"/>
    </row>
    <row r="995" spans="6:31" ht="12.5" x14ac:dyDescent="0.25">
      <c r="F995" s="2"/>
      <c r="I995" s="2"/>
      <c r="J995" s="2"/>
      <c r="M995" s="2"/>
      <c r="N995" s="2"/>
      <c r="W995" s="2"/>
      <c r="X995" s="2"/>
      <c r="Y995" s="2"/>
      <c r="Z995" s="2"/>
      <c r="AA995" s="2"/>
      <c r="AB995" s="2"/>
      <c r="AC995" s="2"/>
      <c r="AD995" s="2"/>
      <c r="AE995" s="2"/>
    </row>
    <row r="996" spans="6:31" ht="12.5" x14ac:dyDescent="0.25">
      <c r="F996" s="2"/>
      <c r="I996" s="2"/>
      <c r="J996" s="2"/>
      <c r="M996" s="2"/>
      <c r="N996" s="2"/>
      <c r="W996" s="2"/>
      <c r="X996" s="2"/>
      <c r="Y996" s="2"/>
      <c r="Z996" s="2"/>
      <c r="AA996" s="2"/>
      <c r="AB996" s="2"/>
      <c r="AC996" s="2"/>
      <c r="AD996" s="2"/>
      <c r="AE996" s="2"/>
    </row>
    <row r="997" spans="6:31" ht="12.5" x14ac:dyDescent="0.25">
      <c r="F997" s="2"/>
      <c r="I997" s="2"/>
      <c r="J997" s="2"/>
      <c r="M997" s="2"/>
      <c r="N997" s="2"/>
      <c r="W997" s="2"/>
      <c r="X997" s="2"/>
      <c r="Y997" s="2"/>
      <c r="Z997" s="2"/>
      <c r="AA997" s="2"/>
      <c r="AB997" s="2"/>
      <c r="AC997" s="2"/>
      <c r="AD997" s="2"/>
      <c r="AE997" s="2"/>
    </row>
    <row r="998" spans="6:31" ht="12.5" x14ac:dyDescent="0.25">
      <c r="F998" s="2"/>
      <c r="I998" s="2"/>
      <c r="J998" s="2"/>
      <c r="M998" s="2"/>
      <c r="N998" s="2"/>
      <c r="W998" s="2"/>
      <c r="X998" s="2"/>
      <c r="Y998" s="2"/>
      <c r="Z998" s="2"/>
      <c r="AA998" s="2"/>
      <c r="AB998" s="2"/>
      <c r="AC998" s="2"/>
      <c r="AD998" s="2"/>
      <c r="AE998" s="2"/>
    </row>
    <row r="999" spans="6:31" ht="12.5" x14ac:dyDescent="0.25">
      <c r="F999" s="2"/>
      <c r="I999" s="2"/>
      <c r="J999" s="2"/>
      <c r="M999" s="2"/>
      <c r="N999" s="2"/>
      <c r="W999" s="2"/>
      <c r="X999" s="2"/>
      <c r="Y999" s="2"/>
      <c r="Z999" s="2"/>
      <c r="AA999" s="2"/>
      <c r="AB999" s="2"/>
      <c r="AC999" s="2"/>
      <c r="AD999" s="2"/>
      <c r="AE999" s="2"/>
    </row>
    <row r="1000" spans="6:31" ht="12.5" x14ac:dyDescent="0.25">
      <c r="F1000" s="2"/>
      <c r="I1000" s="2"/>
      <c r="J1000" s="2"/>
      <c r="M1000" s="2"/>
      <c r="N1000" s="2"/>
      <c r="W1000" s="2"/>
      <c r="X1000" s="2"/>
      <c r="Y1000" s="2"/>
      <c r="Z1000" s="2"/>
      <c r="AA1000" s="2"/>
      <c r="AB1000" s="2"/>
      <c r="AC1000" s="2"/>
      <c r="AD1000" s="2"/>
      <c r="AE1000" s="2"/>
    </row>
  </sheetData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I23"/>
  <sheetViews>
    <sheetView workbookViewId="0">
      <pane xSplit="3" ySplit="1" topLeftCell="K2" activePane="bottomRight" state="frozen"/>
      <selection pane="topRight" activeCell="D1" sqref="D1"/>
      <selection pane="bottomLeft" activeCell="A2" sqref="A2"/>
      <selection pane="bottomRight" activeCell="P3" sqref="P3"/>
    </sheetView>
  </sheetViews>
  <sheetFormatPr defaultColWidth="12.54296875" defaultRowHeight="15.75" customHeight="1" x14ac:dyDescent="0.25"/>
  <cols>
    <col min="10" max="10" width="16.1796875" customWidth="1"/>
  </cols>
  <sheetData>
    <row r="1" spans="1:35" ht="15.75" customHeight="1" x14ac:dyDescent="0.3">
      <c r="A1" s="1" t="s">
        <v>199</v>
      </c>
      <c r="B1" s="1" t="s">
        <v>120</v>
      </c>
      <c r="C1" s="1" t="s">
        <v>121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122</v>
      </c>
      <c r="T1" s="1" t="s">
        <v>123</v>
      </c>
      <c r="U1" s="1" t="s">
        <v>124</v>
      </c>
      <c r="V1" s="1" t="s">
        <v>125</v>
      </c>
      <c r="W1" s="1" t="s">
        <v>22</v>
      </c>
      <c r="X1" s="1"/>
      <c r="Y1" s="1" t="s">
        <v>200</v>
      </c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15.75" customHeight="1" x14ac:dyDescent="0.25">
      <c r="A2" s="2" t="s">
        <v>201</v>
      </c>
      <c r="B2" s="2" t="s">
        <v>51</v>
      </c>
      <c r="C2" s="2">
        <v>2021</v>
      </c>
      <c r="D2" s="2" t="s">
        <v>33</v>
      </c>
      <c r="E2" s="2" t="s">
        <v>52</v>
      </c>
      <c r="F2" s="2" t="s">
        <v>26</v>
      </c>
      <c r="G2" s="2" t="s">
        <v>53</v>
      </c>
      <c r="H2" s="2" t="s">
        <v>35</v>
      </c>
      <c r="I2" s="2" t="s">
        <v>54</v>
      </c>
      <c r="J2" s="2" t="s">
        <v>55</v>
      </c>
      <c r="K2" s="2" t="s">
        <v>56</v>
      </c>
      <c r="L2" s="4">
        <v>12448</v>
      </c>
      <c r="M2" s="4">
        <v>5441621</v>
      </c>
      <c r="N2" s="4">
        <v>24895</v>
      </c>
      <c r="O2" s="4">
        <v>5429174</v>
      </c>
      <c r="P2" s="4">
        <f>SUM(N2,O2)</f>
        <v>5454069</v>
      </c>
      <c r="Q2" s="2" t="s">
        <v>57</v>
      </c>
      <c r="R2" s="2" t="s">
        <v>58</v>
      </c>
      <c r="S2" s="2" t="s">
        <v>59</v>
      </c>
      <c r="T2" s="2">
        <v>0.72</v>
      </c>
      <c r="U2" s="2">
        <v>0.56000000000000005</v>
      </c>
      <c r="V2" s="2">
        <v>0.93</v>
      </c>
      <c r="W2" s="2" t="s">
        <v>60</v>
      </c>
      <c r="X2" s="2"/>
      <c r="Y2" s="2">
        <v>9</v>
      </c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ht="15.75" customHeight="1" x14ac:dyDescent="0.25">
      <c r="A3" s="2" t="s">
        <v>202</v>
      </c>
      <c r="B3" s="2" t="s">
        <v>165</v>
      </c>
      <c r="C3" s="2">
        <v>2021</v>
      </c>
      <c r="D3" s="2" t="s">
        <v>33</v>
      </c>
      <c r="E3" s="2" t="s">
        <v>166</v>
      </c>
      <c r="F3" s="2" t="s">
        <v>167</v>
      </c>
      <c r="G3" s="12" t="s">
        <v>168</v>
      </c>
      <c r="H3" s="2" t="s">
        <v>45</v>
      </c>
      <c r="I3" s="2" t="s">
        <v>53</v>
      </c>
      <c r="J3" s="2" t="s">
        <v>169</v>
      </c>
      <c r="K3" s="2" t="s">
        <v>170</v>
      </c>
      <c r="L3" s="2">
        <v>12448</v>
      </c>
      <c r="M3" s="2">
        <v>5441621</v>
      </c>
      <c r="N3" s="4">
        <v>24895</v>
      </c>
      <c r="O3" s="2">
        <v>5429174</v>
      </c>
      <c r="P3" s="4">
        <v>5454069</v>
      </c>
      <c r="Q3" s="2">
        <v>35.9</v>
      </c>
      <c r="R3" s="2" t="s">
        <v>58</v>
      </c>
      <c r="S3" s="2" t="s">
        <v>59</v>
      </c>
      <c r="T3" s="2">
        <v>0.72</v>
      </c>
      <c r="U3" s="2">
        <v>0.56000000000000005</v>
      </c>
      <c r="V3" s="2">
        <v>0.93</v>
      </c>
      <c r="W3" s="2" t="s">
        <v>171</v>
      </c>
      <c r="X3" s="2"/>
      <c r="Y3" s="2">
        <v>9</v>
      </c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ht="15.75" customHeight="1" x14ac:dyDescent="0.25">
      <c r="A4" s="2" t="s">
        <v>201</v>
      </c>
      <c r="B4" s="6" t="s">
        <v>74</v>
      </c>
      <c r="C4" s="6">
        <v>2022</v>
      </c>
      <c r="D4" s="6" t="s">
        <v>75</v>
      </c>
      <c r="E4" s="6" t="s">
        <v>76</v>
      </c>
      <c r="F4" s="6" t="s">
        <v>26</v>
      </c>
      <c r="G4" s="6" t="s">
        <v>77</v>
      </c>
      <c r="H4" s="6" t="s">
        <v>35</v>
      </c>
      <c r="I4" s="6" t="s">
        <v>78</v>
      </c>
      <c r="J4" s="6" t="s">
        <v>79</v>
      </c>
      <c r="K4" s="6" t="s">
        <v>80</v>
      </c>
      <c r="L4" s="6"/>
      <c r="M4" s="6"/>
      <c r="N4" s="8">
        <v>25889</v>
      </c>
      <c r="O4" s="8">
        <v>32080</v>
      </c>
      <c r="P4" s="8">
        <f>SUM(N4,O4)</f>
        <v>57969</v>
      </c>
      <c r="Q4" s="6"/>
      <c r="R4" s="6"/>
      <c r="S4" s="6"/>
      <c r="T4" s="6"/>
      <c r="U4" s="6"/>
      <c r="V4" s="6"/>
      <c r="W4" s="6"/>
      <c r="X4" s="6" t="s">
        <v>81</v>
      </c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.75" customHeight="1" x14ac:dyDescent="0.25">
      <c r="A5" s="6" t="s">
        <v>203</v>
      </c>
      <c r="B5" s="6" t="s">
        <v>74</v>
      </c>
      <c r="C5" s="6">
        <v>2022</v>
      </c>
      <c r="D5" s="6" t="s">
        <v>140</v>
      </c>
      <c r="E5" s="6" t="s">
        <v>65</v>
      </c>
      <c r="F5" s="6" t="s">
        <v>141</v>
      </c>
      <c r="G5" s="6" t="s">
        <v>142</v>
      </c>
      <c r="H5" s="6" t="s">
        <v>113</v>
      </c>
      <c r="I5" s="6" t="s">
        <v>78</v>
      </c>
      <c r="J5" s="6">
        <v>9</v>
      </c>
      <c r="K5" s="6" t="s">
        <v>143</v>
      </c>
      <c r="L5" s="6">
        <v>25889</v>
      </c>
      <c r="M5" s="6">
        <v>32080</v>
      </c>
      <c r="N5" s="6"/>
      <c r="O5" s="6"/>
      <c r="P5" s="6">
        <v>57969</v>
      </c>
      <c r="Q5" s="6">
        <v>38.200000000000003</v>
      </c>
      <c r="R5" s="6">
        <v>40.200000000000003</v>
      </c>
      <c r="S5" s="6"/>
      <c r="T5" s="6"/>
      <c r="U5" s="6"/>
      <c r="V5" s="6"/>
      <c r="W5" s="6" t="s">
        <v>117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spans="1:35" ht="15.75" customHeight="1" x14ac:dyDescent="0.25">
      <c r="A6" s="2" t="s">
        <v>201</v>
      </c>
      <c r="B6" s="2" t="s">
        <v>32</v>
      </c>
      <c r="C6" s="2">
        <v>2021</v>
      </c>
      <c r="D6" s="2" t="s">
        <v>33</v>
      </c>
      <c r="E6" s="2" t="s">
        <v>25</v>
      </c>
      <c r="F6" s="2" t="s">
        <v>126</v>
      </c>
      <c r="G6" s="2" t="s">
        <v>34</v>
      </c>
      <c r="H6" s="2" t="s">
        <v>35</v>
      </c>
      <c r="I6" s="2" t="s">
        <v>36</v>
      </c>
      <c r="J6" s="3"/>
      <c r="K6" s="2" t="s">
        <v>29</v>
      </c>
      <c r="L6" s="4">
        <v>4040</v>
      </c>
      <c r="M6" s="4">
        <v>39100</v>
      </c>
      <c r="N6" s="2">
        <v>922</v>
      </c>
      <c r="O6" s="4">
        <v>42218</v>
      </c>
      <c r="P6" s="2">
        <v>43140</v>
      </c>
      <c r="Q6" s="3"/>
      <c r="R6" s="3"/>
      <c r="S6" s="2" t="s">
        <v>30</v>
      </c>
      <c r="T6" s="2" t="s">
        <v>176</v>
      </c>
      <c r="U6" s="2" t="s">
        <v>177</v>
      </c>
      <c r="V6" s="2" t="s">
        <v>178</v>
      </c>
      <c r="W6" s="2" t="s">
        <v>39</v>
      </c>
      <c r="X6" s="2"/>
      <c r="Y6" s="2">
        <v>8</v>
      </c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ht="15.75" customHeight="1" x14ac:dyDescent="0.25">
      <c r="A7" s="2" t="s">
        <v>202</v>
      </c>
      <c r="B7" s="2" t="s">
        <v>32</v>
      </c>
      <c r="C7" s="2">
        <v>2021</v>
      </c>
      <c r="D7" s="2" t="s">
        <v>33</v>
      </c>
      <c r="E7" s="2" t="s">
        <v>42</v>
      </c>
      <c r="F7" s="2" t="s">
        <v>167</v>
      </c>
      <c r="G7" s="2" t="s">
        <v>204</v>
      </c>
      <c r="H7" s="2" t="s">
        <v>45</v>
      </c>
      <c r="I7" s="2" t="s">
        <v>175</v>
      </c>
      <c r="J7" s="3"/>
      <c r="K7" s="2" t="s">
        <v>149</v>
      </c>
      <c r="L7" s="2">
        <v>4040</v>
      </c>
      <c r="M7" s="2">
        <v>39100</v>
      </c>
      <c r="N7" s="2">
        <v>922</v>
      </c>
      <c r="O7" s="2">
        <v>42218</v>
      </c>
      <c r="P7" s="2">
        <v>43140</v>
      </c>
      <c r="Q7" s="3"/>
      <c r="R7" s="3"/>
      <c r="S7" s="2" t="s">
        <v>30</v>
      </c>
      <c r="T7" s="2" t="s">
        <v>176</v>
      </c>
      <c r="U7" s="2" t="s">
        <v>177</v>
      </c>
      <c r="V7" s="2" t="s">
        <v>178</v>
      </c>
      <c r="W7" s="2" t="s">
        <v>205</v>
      </c>
      <c r="X7" s="2" t="s">
        <v>180</v>
      </c>
      <c r="Y7" s="2">
        <v>8</v>
      </c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ht="15.75" customHeight="1" x14ac:dyDescent="0.25">
      <c r="A8" s="2" t="s">
        <v>201</v>
      </c>
      <c r="B8" s="2" t="s">
        <v>23</v>
      </c>
      <c r="C8" s="2">
        <v>2018</v>
      </c>
      <c r="D8" s="2" t="s">
        <v>24</v>
      </c>
      <c r="E8" s="2" t="s">
        <v>25</v>
      </c>
      <c r="F8" s="2" t="s">
        <v>26</v>
      </c>
      <c r="G8" s="2" t="s">
        <v>27</v>
      </c>
      <c r="H8" s="2" t="s">
        <v>28</v>
      </c>
      <c r="I8" s="2" t="s">
        <v>27</v>
      </c>
      <c r="J8" s="3"/>
      <c r="K8" s="2" t="s">
        <v>29</v>
      </c>
      <c r="L8" s="2">
        <v>198</v>
      </c>
      <c r="M8" s="2">
        <v>389</v>
      </c>
      <c r="N8" s="2">
        <v>437</v>
      </c>
      <c r="O8" s="2">
        <v>150</v>
      </c>
      <c r="P8" s="2">
        <v>587</v>
      </c>
      <c r="Q8" s="3"/>
      <c r="R8" s="3"/>
      <c r="S8" s="2" t="s">
        <v>30</v>
      </c>
      <c r="T8" s="2">
        <v>2.08</v>
      </c>
      <c r="U8" s="2">
        <v>1.34</v>
      </c>
      <c r="V8" s="2">
        <v>3.2269999999999999</v>
      </c>
      <c r="W8" s="2" t="s">
        <v>31</v>
      </c>
      <c r="X8" s="2"/>
      <c r="Y8" s="2">
        <v>8</v>
      </c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ht="15.75" customHeight="1" x14ac:dyDescent="0.25">
      <c r="A9" s="2" t="s">
        <v>203</v>
      </c>
      <c r="B9" s="2" t="s">
        <v>23</v>
      </c>
      <c r="C9" s="2">
        <v>2018</v>
      </c>
      <c r="D9" s="2" t="s">
        <v>147</v>
      </c>
      <c r="E9" s="2" t="s">
        <v>42</v>
      </c>
      <c r="F9" s="2" t="s">
        <v>26</v>
      </c>
      <c r="G9" s="2" t="s">
        <v>138</v>
      </c>
      <c r="H9" s="2" t="s">
        <v>148</v>
      </c>
      <c r="I9" s="2" t="s">
        <v>138</v>
      </c>
      <c r="J9" s="3"/>
      <c r="K9" s="2" t="s">
        <v>149</v>
      </c>
      <c r="L9" s="2">
        <v>198</v>
      </c>
      <c r="M9" s="2">
        <v>389</v>
      </c>
      <c r="N9" s="2">
        <v>437</v>
      </c>
      <c r="O9" s="2">
        <v>150</v>
      </c>
      <c r="P9" s="2">
        <v>587</v>
      </c>
      <c r="Q9" s="3"/>
      <c r="R9" s="3"/>
      <c r="S9" s="2" t="s">
        <v>30</v>
      </c>
      <c r="T9" s="2">
        <v>2.08</v>
      </c>
      <c r="U9" s="2">
        <v>1.34</v>
      </c>
      <c r="V9" s="13">
        <v>3.2269999999999999</v>
      </c>
      <c r="W9" s="2" t="s">
        <v>206</v>
      </c>
      <c r="X9" s="2"/>
      <c r="Y9" s="2">
        <v>8</v>
      </c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ht="15.75" customHeight="1" x14ac:dyDescent="0.25">
      <c r="A10" s="2" t="s">
        <v>201</v>
      </c>
      <c r="B10" s="2" t="s">
        <v>51</v>
      </c>
      <c r="C10" s="2">
        <v>2015</v>
      </c>
      <c r="D10" s="2" t="s">
        <v>33</v>
      </c>
      <c r="E10" s="2" t="s">
        <v>52</v>
      </c>
      <c r="F10" s="2" t="s">
        <v>26</v>
      </c>
      <c r="G10" s="2" t="s">
        <v>34</v>
      </c>
      <c r="H10" s="2" t="s">
        <v>35</v>
      </c>
      <c r="I10" s="2" t="s">
        <v>54</v>
      </c>
      <c r="J10" s="2" t="s">
        <v>61</v>
      </c>
      <c r="K10" s="3"/>
      <c r="L10" s="4">
        <v>30830</v>
      </c>
      <c r="M10" s="4">
        <f>P10-L10</f>
        <v>5452722</v>
      </c>
      <c r="N10" s="4">
        <v>34433</v>
      </c>
      <c r="O10" s="4">
        <v>5449119</v>
      </c>
      <c r="P10" s="4">
        <f>SUM(O10,N10)</f>
        <v>5483552</v>
      </c>
      <c r="Q10" s="2" t="s">
        <v>57</v>
      </c>
      <c r="R10" s="2" t="s">
        <v>62</v>
      </c>
      <c r="S10" s="2" t="s">
        <v>59</v>
      </c>
      <c r="T10" s="2">
        <v>0.65</v>
      </c>
      <c r="U10" s="2">
        <v>0.52</v>
      </c>
      <c r="V10" s="2">
        <v>0.81</v>
      </c>
      <c r="W10" s="2" t="s">
        <v>60</v>
      </c>
      <c r="X10" s="2"/>
      <c r="Y10" s="2">
        <v>9</v>
      </c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ht="15.75" customHeight="1" x14ac:dyDescent="0.25">
      <c r="A11" s="2" t="s">
        <v>203</v>
      </c>
      <c r="B11" s="2" t="s">
        <v>51</v>
      </c>
      <c r="C11" s="2">
        <v>2015</v>
      </c>
      <c r="D11" s="2" t="s">
        <v>33</v>
      </c>
      <c r="E11" s="2" t="s">
        <v>65</v>
      </c>
      <c r="F11" s="2" t="s">
        <v>26</v>
      </c>
      <c r="G11" s="2" t="s">
        <v>34</v>
      </c>
      <c r="H11" s="2" t="s">
        <v>153</v>
      </c>
      <c r="I11" s="2" t="s">
        <v>54</v>
      </c>
      <c r="J11" s="2" t="s">
        <v>207</v>
      </c>
      <c r="K11" s="3"/>
      <c r="L11" s="2" t="s">
        <v>208</v>
      </c>
      <c r="M11" s="4">
        <v>5452722</v>
      </c>
      <c r="N11" s="4">
        <v>34433</v>
      </c>
      <c r="O11" s="4">
        <v>5449119</v>
      </c>
      <c r="P11" s="4">
        <f>SUM(N11,O11)</f>
        <v>5483552</v>
      </c>
      <c r="Q11" s="14" t="s">
        <v>57</v>
      </c>
      <c r="R11" s="2" t="s">
        <v>62</v>
      </c>
      <c r="S11" s="2" t="s">
        <v>59</v>
      </c>
      <c r="T11" s="2">
        <v>0.65</v>
      </c>
      <c r="U11" s="2">
        <v>0.52</v>
      </c>
      <c r="V11" s="2">
        <v>0.81</v>
      </c>
      <c r="W11" s="2" t="s">
        <v>60</v>
      </c>
      <c r="X11" s="2"/>
      <c r="Y11" s="2">
        <v>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ht="15.75" customHeight="1" x14ac:dyDescent="0.25">
      <c r="A12" s="2" t="s">
        <v>201</v>
      </c>
      <c r="B12" s="2" t="s">
        <v>82</v>
      </c>
      <c r="C12" s="2">
        <v>2019</v>
      </c>
      <c r="D12" s="2" t="s">
        <v>83</v>
      </c>
      <c r="E12" s="2" t="s">
        <v>76</v>
      </c>
      <c r="F12" s="2" t="s">
        <v>84</v>
      </c>
      <c r="G12" s="2" t="s">
        <v>85</v>
      </c>
      <c r="H12" s="2" t="s">
        <v>35</v>
      </c>
      <c r="I12" s="2" t="s">
        <v>86</v>
      </c>
      <c r="J12" s="2" t="s">
        <v>87</v>
      </c>
      <c r="K12" s="3"/>
      <c r="L12" s="2">
        <v>73</v>
      </c>
      <c r="M12" s="4">
        <v>999081</v>
      </c>
      <c r="N12" s="4">
        <v>45410</v>
      </c>
      <c r="O12" s="4">
        <v>953744</v>
      </c>
      <c r="P12" s="4">
        <v>999154</v>
      </c>
      <c r="Q12" s="2" t="s">
        <v>88</v>
      </c>
      <c r="R12" s="2" t="s">
        <v>89</v>
      </c>
      <c r="S12" s="2" t="s">
        <v>59</v>
      </c>
      <c r="T12" s="2">
        <v>3.52</v>
      </c>
      <c r="U12" s="2">
        <v>0.89</v>
      </c>
      <c r="V12" s="2">
        <v>13.8</v>
      </c>
      <c r="W12" s="2" t="s">
        <v>90</v>
      </c>
      <c r="X12" s="2"/>
      <c r="Y12" s="2">
        <v>8</v>
      </c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ht="15.75" customHeight="1" x14ac:dyDescent="0.25">
      <c r="A13" s="2" t="s">
        <v>202</v>
      </c>
      <c r="B13" s="2" t="s">
        <v>82</v>
      </c>
      <c r="C13" s="2">
        <v>2019</v>
      </c>
      <c r="D13" s="2" t="s">
        <v>83</v>
      </c>
      <c r="E13" s="2" t="s">
        <v>166</v>
      </c>
      <c r="F13" s="2" t="s">
        <v>189</v>
      </c>
      <c r="G13" s="2" t="s">
        <v>190</v>
      </c>
      <c r="H13" s="2" t="s">
        <v>45</v>
      </c>
      <c r="I13" s="2" t="s">
        <v>191</v>
      </c>
      <c r="J13" s="2" t="s">
        <v>192</v>
      </c>
      <c r="K13" s="3"/>
      <c r="L13" s="2">
        <v>73</v>
      </c>
      <c r="M13" s="2">
        <v>999081</v>
      </c>
      <c r="N13" s="4">
        <v>45410</v>
      </c>
      <c r="O13" s="4">
        <v>953744</v>
      </c>
      <c r="P13" s="2">
        <v>999154</v>
      </c>
      <c r="Q13" s="2">
        <v>45.5</v>
      </c>
      <c r="R13" s="2" t="s">
        <v>209</v>
      </c>
      <c r="S13" s="2" t="s">
        <v>59</v>
      </c>
      <c r="T13" s="2">
        <v>3.52</v>
      </c>
      <c r="U13" s="2">
        <v>0.89</v>
      </c>
      <c r="V13" s="2">
        <v>13.8</v>
      </c>
      <c r="W13" s="2" t="s">
        <v>193</v>
      </c>
      <c r="X13" s="2"/>
      <c r="Y13" s="2">
        <v>8</v>
      </c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ht="15.75" customHeight="1" x14ac:dyDescent="0.25">
      <c r="A14" s="2" t="s">
        <v>201</v>
      </c>
      <c r="B14" s="2" t="s">
        <v>100</v>
      </c>
      <c r="C14" s="2">
        <v>2015</v>
      </c>
      <c r="D14" s="2" t="s">
        <v>41</v>
      </c>
      <c r="E14" s="2" t="s">
        <v>101</v>
      </c>
      <c r="F14" s="2" t="s">
        <v>102</v>
      </c>
      <c r="G14" s="2" t="s">
        <v>103</v>
      </c>
      <c r="H14" s="2" t="s">
        <v>35</v>
      </c>
      <c r="I14" s="2" t="s">
        <v>104</v>
      </c>
      <c r="J14" s="3"/>
      <c r="K14" s="2" t="s">
        <v>105</v>
      </c>
      <c r="L14" s="4" t="s">
        <v>107</v>
      </c>
      <c r="M14" s="2" t="s">
        <v>108</v>
      </c>
      <c r="N14" s="4">
        <v>1899</v>
      </c>
      <c r="O14" s="4">
        <v>206031</v>
      </c>
      <c r="P14" s="4">
        <v>207930</v>
      </c>
      <c r="Q14" s="3"/>
      <c r="R14" s="3"/>
      <c r="S14" s="2" t="s">
        <v>30</v>
      </c>
      <c r="T14" s="2" t="s">
        <v>133</v>
      </c>
      <c r="U14" s="2" t="s">
        <v>134</v>
      </c>
      <c r="V14" s="2" t="s">
        <v>135</v>
      </c>
      <c r="W14" s="2" t="s">
        <v>136</v>
      </c>
      <c r="X14" s="2"/>
      <c r="Y14" s="2">
        <v>8</v>
      </c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ht="15.75" customHeight="1" x14ac:dyDescent="0.25">
      <c r="A15" s="2" t="s">
        <v>202</v>
      </c>
      <c r="B15" s="2" t="s">
        <v>100</v>
      </c>
      <c r="C15" s="2">
        <v>2014</v>
      </c>
      <c r="D15" s="2" t="s">
        <v>41</v>
      </c>
      <c r="E15" s="2" t="s">
        <v>42</v>
      </c>
      <c r="F15" s="2" t="s">
        <v>194</v>
      </c>
      <c r="G15" s="2" t="s">
        <v>103</v>
      </c>
      <c r="H15" s="2" t="s">
        <v>45</v>
      </c>
      <c r="I15" s="2" t="s">
        <v>104</v>
      </c>
      <c r="J15" s="3"/>
      <c r="K15" s="2" t="s">
        <v>195</v>
      </c>
      <c r="L15" s="2">
        <v>13135</v>
      </c>
      <c r="M15" s="2">
        <v>192896</v>
      </c>
      <c r="N15" s="2">
        <v>1899</v>
      </c>
      <c r="O15" s="2">
        <v>206031</v>
      </c>
      <c r="P15" s="2">
        <v>207930</v>
      </c>
      <c r="Q15" s="3"/>
      <c r="R15" s="3"/>
      <c r="S15" s="2" t="s">
        <v>30</v>
      </c>
      <c r="T15" s="2" t="s">
        <v>196</v>
      </c>
      <c r="U15" s="2" t="s">
        <v>197</v>
      </c>
      <c r="V15" s="2" t="s">
        <v>198</v>
      </c>
      <c r="W15" s="2" t="s">
        <v>106</v>
      </c>
      <c r="X15" s="2"/>
      <c r="Y15" s="2">
        <v>9</v>
      </c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ht="15.75" customHeight="1" x14ac:dyDescent="0.3">
      <c r="A16" s="2" t="s">
        <v>203</v>
      </c>
      <c r="B16" s="2" t="s">
        <v>91</v>
      </c>
      <c r="C16" s="2">
        <v>2014</v>
      </c>
      <c r="D16" s="2" t="s">
        <v>92</v>
      </c>
      <c r="E16" s="2" t="s">
        <v>42</v>
      </c>
      <c r="F16" s="2" t="s">
        <v>93</v>
      </c>
      <c r="G16" s="2" t="s">
        <v>94</v>
      </c>
      <c r="H16" s="2" t="s">
        <v>95</v>
      </c>
      <c r="I16" s="2" t="s">
        <v>96</v>
      </c>
      <c r="J16" s="3"/>
      <c r="K16" s="2" t="s">
        <v>97</v>
      </c>
      <c r="L16" s="2">
        <v>194</v>
      </c>
      <c r="M16" s="2">
        <v>388</v>
      </c>
      <c r="N16" s="2">
        <v>26</v>
      </c>
      <c r="O16" s="2">
        <v>556</v>
      </c>
      <c r="P16" s="2">
        <v>582</v>
      </c>
      <c r="Q16" s="3"/>
      <c r="R16" s="3"/>
      <c r="S16" s="2" t="s">
        <v>30</v>
      </c>
      <c r="T16" s="2">
        <v>0.36</v>
      </c>
      <c r="U16" s="2">
        <v>0.13</v>
      </c>
      <c r="V16" s="2">
        <v>1.02</v>
      </c>
      <c r="W16" s="2" t="s">
        <v>98</v>
      </c>
      <c r="X16" s="2" t="s">
        <v>99</v>
      </c>
      <c r="Y16" s="2">
        <v>7</v>
      </c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ht="15.75" customHeight="1" x14ac:dyDescent="0.25">
      <c r="A17" s="2" t="s">
        <v>202</v>
      </c>
      <c r="B17" s="2" t="s">
        <v>155</v>
      </c>
      <c r="C17" s="2">
        <v>2014</v>
      </c>
      <c r="D17" s="2" t="s">
        <v>92</v>
      </c>
      <c r="E17" s="2" t="s">
        <v>156</v>
      </c>
      <c r="F17" s="2" t="s">
        <v>157</v>
      </c>
      <c r="G17" s="2" t="s">
        <v>94</v>
      </c>
      <c r="H17" s="2" t="s">
        <v>159</v>
      </c>
      <c r="I17" s="2" t="s">
        <v>96</v>
      </c>
      <c r="J17" s="3"/>
      <c r="K17" s="2" t="s">
        <v>97</v>
      </c>
      <c r="L17" s="2">
        <v>194</v>
      </c>
      <c r="M17" s="2">
        <v>388</v>
      </c>
      <c r="N17" s="2">
        <v>26</v>
      </c>
      <c r="O17" s="2">
        <v>556</v>
      </c>
      <c r="P17" s="2">
        <v>582</v>
      </c>
      <c r="Q17" s="3"/>
      <c r="R17" s="3"/>
      <c r="S17" s="2" t="s">
        <v>30</v>
      </c>
      <c r="T17" s="2" t="s">
        <v>161</v>
      </c>
      <c r="U17" s="2" t="s">
        <v>162</v>
      </c>
      <c r="V17" s="2" t="s">
        <v>163</v>
      </c>
      <c r="W17" s="2" t="s">
        <v>164</v>
      </c>
      <c r="X17" s="2"/>
      <c r="Y17" s="2">
        <v>8</v>
      </c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ht="15.75" customHeight="1" x14ac:dyDescent="0.25">
      <c r="A18" s="2" t="s">
        <v>203</v>
      </c>
      <c r="B18" s="2" t="s">
        <v>109</v>
      </c>
      <c r="C18" s="2">
        <v>2021</v>
      </c>
      <c r="D18" s="2" t="s">
        <v>110</v>
      </c>
      <c r="E18" s="2" t="s">
        <v>111</v>
      </c>
      <c r="F18" s="2" t="s">
        <v>43</v>
      </c>
      <c r="G18" s="2" t="s">
        <v>112</v>
      </c>
      <c r="H18" s="2" t="s">
        <v>113</v>
      </c>
      <c r="I18" s="2" t="s">
        <v>114</v>
      </c>
      <c r="J18" s="2" t="s">
        <v>115</v>
      </c>
      <c r="K18" s="2" t="s">
        <v>116</v>
      </c>
      <c r="L18" s="2">
        <v>38</v>
      </c>
      <c r="M18" s="2">
        <v>42609</v>
      </c>
      <c r="N18" s="4">
        <v>18961</v>
      </c>
      <c r="O18" s="4">
        <v>23686</v>
      </c>
      <c r="P18" s="4">
        <v>42647</v>
      </c>
      <c r="Q18" s="2">
        <v>32</v>
      </c>
      <c r="R18" s="2">
        <v>33</v>
      </c>
      <c r="S18" s="2" t="s">
        <v>59</v>
      </c>
      <c r="T18" s="2">
        <v>0.76</v>
      </c>
      <c r="U18" s="2">
        <v>0.39</v>
      </c>
      <c r="V18" s="2">
        <v>1.47</v>
      </c>
      <c r="W18" s="2" t="s">
        <v>117</v>
      </c>
      <c r="X18" s="2"/>
      <c r="Y18" s="2">
        <v>7</v>
      </c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ht="15.75" customHeight="1" x14ac:dyDescent="0.25">
      <c r="A19" s="2" t="s">
        <v>202</v>
      </c>
      <c r="B19" s="2" t="s">
        <v>172</v>
      </c>
      <c r="C19" s="2">
        <v>2021</v>
      </c>
      <c r="D19" s="2" t="s">
        <v>110</v>
      </c>
      <c r="E19" s="2" t="s">
        <v>111</v>
      </c>
      <c r="F19" s="2" t="s">
        <v>167</v>
      </c>
      <c r="G19" s="2" t="s">
        <v>173</v>
      </c>
      <c r="H19" s="2" t="s">
        <v>45</v>
      </c>
      <c r="I19" s="2" t="s">
        <v>114</v>
      </c>
      <c r="J19" s="2" t="s">
        <v>115</v>
      </c>
      <c r="K19" s="2" t="s">
        <v>170</v>
      </c>
      <c r="L19" s="2">
        <v>38</v>
      </c>
      <c r="M19" s="2">
        <v>42609</v>
      </c>
      <c r="N19" s="2">
        <v>18961</v>
      </c>
      <c r="O19" s="2">
        <v>23686</v>
      </c>
      <c r="P19" s="2">
        <v>42647</v>
      </c>
      <c r="Q19" s="2">
        <v>32</v>
      </c>
      <c r="R19" s="2">
        <v>33</v>
      </c>
      <c r="S19" s="2" t="s">
        <v>59</v>
      </c>
      <c r="T19" s="2">
        <v>0.76</v>
      </c>
      <c r="U19" s="2">
        <v>0.39</v>
      </c>
      <c r="V19" s="2">
        <v>1.47</v>
      </c>
      <c r="W19" s="2" t="s">
        <v>117</v>
      </c>
      <c r="X19" s="2" t="s">
        <v>118</v>
      </c>
      <c r="Y19" s="2">
        <v>8</v>
      </c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ht="75" x14ac:dyDescent="0.25">
      <c r="A20" s="2" t="s">
        <v>203</v>
      </c>
      <c r="B20" s="2" t="s">
        <v>40</v>
      </c>
      <c r="C20" s="2">
        <v>2023</v>
      </c>
      <c r="D20" s="2" t="s">
        <v>41</v>
      </c>
      <c r="E20" s="2" t="s">
        <v>42</v>
      </c>
      <c r="F20" s="2" t="s">
        <v>43</v>
      </c>
      <c r="G20" s="2" t="s">
        <v>44</v>
      </c>
      <c r="H20" s="2" t="s">
        <v>45</v>
      </c>
      <c r="I20" s="2" t="s">
        <v>46</v>
      </c>
      <c r="J20" s="3"/>
      <c r="K20" s="2" t="s">
        <v>47</v>
      </c>
      <c r="L20" s="4">
        <v>16822</v>
      </c>
      <c r="M20" s="4">
        <v>672880</v>
      </c>
      <c r="N20" s="2">
        <v>7618</v>
      </c>
      <c r="O20" s="4">
        <v>682084</v>
      </c>
      <c r="P20" s="4">
        <v>689702</v>
      </c>
      <c r="Q20" s="3"/>
      <c r="R20" s="3"/>
      <c r="S20" s="2" t="s">
        <v>145</v>
      </c>
      <c r="T20" s="2" t="s">
        <v>182</v>
      </c>
      <c r="U20" s="2" t="s">
        <v>183</v>
      </c>
      <c r="V20" s="2" t="s">
        <v>184</v>
      </c>
      <c r="W20" s="2" t="s">
        <v>49</v>
      </c>
      <c r="X20" s="2"/>
      <c r="Y20" s="2">
        <v>8</v>
      </c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ht="75" x14ac:dyDescent="0.25">
      <c r="A21" s="2" t="s">
        <v>202</v>
      </c>
      <c r="B21" s="2" t="s">
        <v>40</v>
      </c>
      <c r="C21" s="2">
        <v>2023</v>
      </c>
      <c r="D21" s="2" t="s">
        <v>41</v>
      </c>
      <c r="E21" s="2" t="s">
        <v>42</v>
      </c>
      <c r="F21" s="2" t="s">
        <v>181</v>
      </c>
      <c r="G21" s="2" t="s">
        <v>210</v>
      </c>
      <c r="H21" s="2" t="s">
        <v>45</v>
      </c>
      <c r="I21" s="2" t="s">
        <v>69</v>
      </c>
      <c r="J21" s="3"/>
      <c r="K21" s="2" t="s">
        <v>47</v>
      </c>
      <c r="L21" s="4">
        <v>16822</v>
      </c>
      <c r="M21" s="2">
        <v>672880</v>
      </c>
      <c r="N21" s="14">
        <v>7618</v>
      </c>
      <c r="O21" s="4">
        <v>682084</v>
      </c>
      <c r="P21" s="4">
        <v>689702</v>
      </c>
      <c r="Q21" s="3"/>
      <c r="R21" s="3"/>
      <c r="S21" s="2" t="s">
        <v>30</v>
      </c>
      <c r="T21" s="2" t="s">
        <v>182</v>
      </c>
      <c r="U21" s="2" t="s">
        <v>183</v>
      </c>
      <c r="V21" s="2" t="s">
        <v>184</v>
      </c>
      <c r="W21" s="2" t="s">
        <v>49</v>
      </c>
      <c r="X21" s="2"/>
      <c r="Y21" s="2">
        <v>9</v>
      </c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ht="225" x14ac:dyDescent="0.25">
      <c r="A22" s="2" t="s">
        <v>203</v>
      </c>
      <c r="B22" s="2" t="s">
        <v>63</v>
      </c>
      <c r="C22" s="2">
        <v>2023</v>
      </c>
      <c r="D22" s="2" t="s">
        <v>64</v>
      </c>
      <c r="E22" s="2" t="s">
        <v>65</v>
      </c>
      <c r="F22" s="2" t="s">
        <v>66</v>
      </c>
      <c r="G22" s="2" t="s">
        <v>67</v>
      </c>
      <c r="H22" s="2" t="s">
        <v>68</v>
      </c>
      <c r="I22" s="2" t="s">
        <v>69</v>
      </c>
      <c r="J22" s="2" t="s">
        <v>70</v>
      </c>
      <c r="K22" s="2" t="s">
        <v>71</v>
      </c>
      <c r="L22" s="2">
        <v>148</v>
      </c>
      <c r="M22" s="2">
        <v>131368</v>
      </c>
      <c r="N22" s="4">
        <v>32879</v>
      </c>
      <c r="O22" s="4">
        <v>98637</v>
      </c>
      <c r="P22" s="2">
        <v>131516</v>
      </c>
      <c r="Q22" s="3"/>
      <c r="R22" s="2" t="s">
        <v>72</v>
      </c>
      <c r="S22" s="2" t="s">
        <v>59</v>
      </c>
      <c r="T22" s="2">
        <v>0.82</v>
      </c>
      <c r="U22" s="2">
        <v>0.55000000000000004</v>
      </c>
      <c r="V22" s="2">
        <v>1.21</v>
      </c>
      <c r="W22" s="3" t="s">
        <v>73</v>
      </c>
      <c r="X22" s="2"/>
      <c r="Y22" s="2">
        <v>8</v>
      </c>
      <c r="Z22" s="2" t="s">
        <v>211</v>
      </c>
      <c r="AA22" s="2"/>
      <c r="AB22" s="2"/>
      <c r="AC22" s="2"/>
      <c r="AD22" s="2"/>
      <c r="AE22" s="2"/>
      <c r="AF22" s="2"/>
      <c r="AG22" s="2"/>
      <c r="AH22" s="2"/>
      <c r="AI22" s="2"/>
    </row>
    <row r="23" spans="1:35" ht="225" x14ac:dyDescent="0.25">
      <c r="A23" s="2" t="s">
        <v>202</v>
      </c>
      <c r="B23" s="2" t="s">
        <v>63</v>
      </c>
      <c r="C23" s="2">
        <v>2023</v>
      </c>
      <c r="D23" s="2" t="s">
        <v>75</v>
      </c>
      <c r="E23" s="2" t="s">
        <v>166</v>
      </c>
      <c r="F23" s="2" t="s">
        <v>181</v>
      </c>
      <c r="G23" s="2" t="s">
        <v>67</v>
      </c>
      <c r="H23" s="2" t="s">
        <v>186</v>
      </c>
      <c r="I23" s="2" t="s">
        <v>69</v>
      </c>
      <c r="J23" s="2" t="s">
        <v>187</v>
      </c>
      <c r="K23" s="2" t="s">
        <v>71</v>
      </c>
      <c r="L23" s="2">
        <v>148</v>
      </c>
      <c r="M23" s="2">
        <v>131368</v>
      </c>
      <c r="N23" s="2">
        <v>32879</v>
      </c>
      <c r="O23" s="2">
        <v>98637</v>
      </c>
      <c r="P23" s="2">
        <v>131516</v>
      </c>
      <c r="Q23" s="3"/>
      <c r="R23" s="2" t="s">
        <v>72</v>
      </c>
      <c r="S23" s="2" t="s">
        <v>59</v>
      </c>
      <c r="T23" s="2">
        <v>0.82</v>
      </c>
      <c r="U23" s="2">
        <v>0.55000000000000004</v>
      </c>
      <c r="V23" s="2">
        <v>1.21</v>
      </c>
      <c r="W23" s="2" t="s">
        <v>73</v>
      </c>
      <c r="X23" s="2"/>
      <c r="Y23" s="2">
        <v>8</v>
      </c>
      <c r="Z23" s="2"/>
      <c r="AA23" s="2"/>
      <c r="AB23" s="2"/>
      <c r="AC23" s="2"/>
      <c r="AD23" s="2"/>
      <c r="AE23" s="2"/>
      <c r="AF23" s="2"/>
      <c r="AG23" s="2"/>
      <c r="AH23" s="2"/>
      <c r="AI23" s="2"/>
    </row>
  </sheetData>
  <pageMargins left="0" right="0" top="0" bottom="0" header="0" footer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11BB0B753CCF46BC6A479C0A7912DA" ma:contentTypeVersion="3" ma:contentTypeDescription="Create a new document." ma:contentTypeScope="" ma:versionID="a3b7ea7b53a984388a11ce4c1d8748ce">
  <xsd:schema xmlns:xsd="http://www.w3.org/2001/XMLSchema" xmlns:xs="http://www.w3.org/2001/XMLSchema" xmlns:p="http://schemas.microsoft.com/office/2006/metadata/properties" xmlns:ns2="30cc67ce-1301-4d07-baa0-9a0615252c5e" targetNamespace="http://schemas.microsoft.com/office/2006/metadata/properties" ma:root="true" ma:fieldsID="c564a4bedc07063ad2b83258f726f450" ns2:_="">
    <xsd:import namespace="30cc67ce-1301-4d07-baa0-9a0615252c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cc67ce-1301-4d07-baa0-9a0615252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591565-0D79-4D06-B185-A4C2547848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C59F93A-0FA3-4770-A06E-A9B9430C109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94F66A-C39F-4449-B9E0-9AFDFEBD42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cc67ce-1301-4d07-baa0-9a0615252c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Final DE</vt:lpstr>
      <vt:lpstr>Data Extraction TL</vt:lpstr>
      <vt:lpstr>Data Extraction BC</vt:lpstr>
      <vt:lpstr>Data Extraction PG</vt:lpstr>
      <vt:lpstr>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Rebecca Harris</dc:creator>
  <cp:keywords/>
  <dc:description/>
  <cp:lastModifiedBy>Rebecca Harris</cp:lastModifiedBy>
  <cp:revision/>
  <dcterms:created xsi:type="dcterms:W3CDTF">2025-05-15T23:00:30Z</dcterms:created>
  <dcterms:modified xsi:type="dcterms:W3CDTF">2026-03-13T06:04:31Z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0x0101009B11BB0B753CCF46BC6A479C0A7912DA</vt:lpwstr>
  </property>
  <property fmtid="{D5CDD505-2E9C-101B-9397-08002B2CF9AE}" pid="3" name="MSIP_Label_0f488380-630a-4f55-a077-a19445e3f360_Enabled">
    <vt:lpwstr>true</vt:lpwstr>
  </property>
  <property fmtid="{D5CDD505-2E9C-101B-9397-08002B2CF9AE}" pid="4" name="MSIP_Label_0f488380-630a-4f55-a077-a19445e3f360_SetDate">
    <vt:lpwstr>2025-05-15T22:59:09Z</vt:lpwstr>
  </property>
  <property fmtid="{D5CDD505-2E9C-101B-9397-08002B2CF9AE}" pid="5" name="MSIP_Label_0f488380-630a-4f55-a077-a19445e3f360_Method">
    <vt:lpwstr>Standard</vt:lpwstr>
  </property>
  <property fmtid="{D5CDD505-2E9C-101B-9397-08002B2CF9AE}" pid="6" name="MSIP_Label_0f488380-630a-4f55-a077-a19445e3f360_Name">
    <vt:lpwstr>OFFICIAL - INTERNAL</vt:lpwstr>
  </property>
  <property fmtid="{D5CDD505-2E9C-101B-9397-08002B2CF9AE}" pid="7" name="MSIP_Label_0f488380-630a-4f55-a077-a19445e3f360_SiteId">
    <vt:lpwstr>b6e377cf-9db3-46cb-91a2-fad9605bb15c</vt:lpwstr>
  </property>
  <property fmtid="{D5CDD505-2E9C-101B-9397-08002B2CF9AE}" pid="8" name="MSIP_Label_0f488380-630a-4f55-a077-a19445e3f360_ActionId">
    <vt:lpwstr>aa3278ed-52f5-434b-a1de-55169aadff5c</vt:lpwstr>
  </property>
  <property fmtid="{D5CDD505-2E9C-101B-9397-08002B2CF9AE}" pid="9" name="MSIP_Label_0f488380-630a-4f55-a077-a19445e3f360_ContentBits">
    <vt:lpwstr>0</vt:lpwstr>
  </property>
  <property fmtid="{D5CDD505-2E9C-101B-9397-08002B2CF9AE}" pid="10" name="MSIP_Label_0f488380-630a-4f55-a077-a19445e3f360_Tag">
    <vt:lpwstr>10, 3, 0, 2</vt:lpwstr>
  </property>
</Properties>
</file>