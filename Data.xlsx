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GitHub/Salpingectomy-and-ovarian-cancer-meta-analysis/"/>
    </mc:Choice>
  </mc:AlternateContent>
  <xr:revisionPtr revIDLastSave="510" documentId="8_{992C1801-9192-457E-AE7B-3D6E39F852D4}" xr6:coauthVersionLast="47" xr6:coauthVersionMax="47" xr10:uidLastSave="{B1F9A4F5-0599-4630-A746-6FA3EB4E152D}"/>
  <bookViews>
    <workbookView xWindow="28680" yWindow="210" windowWidth="29040" windowHeight="15720" xr2:uid="{00000000-000D-0000-FFFF-FFFF00000000}"/>
  </bookViews>
  <sheets>
    <sheet name="Final DE" sheetId="1" r:id="rId1"/>
    <sheet name="Data Extraction TL" sheetId="2" r:id="rId2"/>
    <sheet name="Data Extraction BC" sheetId="3" r:id="rId3"/>
    <sheet name="Data Extraction PG" sheetId="4" r:id="rId4"/>
    <sheet name="Master" sheetId="5" r:id="rId5"/>
  </sheets>
  <definedNames>
    <definedName name="_xlnm._FilterDatabase" localSheetId="0" hidden="1">'Final DE'!$B$1:$S$70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1" l="1"/>
  <c r="O48" i="1"/>
  <c r="O47" i="1"/>
  <c r="O45" i="1"/>
  <c r="P42" i="1"/>
  <c r="O42" i="1"/>
  <c r="P40" i="1"/>
  <c r="O40" i="1"/>
  <c r="P33" i="1"/>
  <c r="O33" i="1"/>
  <c r="P12" i="1"/>
  <c r="O12" i="1"/>
  <c r="P3" i="1"/>
  <c r="R2" i="1"/>
  <c r="S2" i="1"/>
  <c r="Q2" i="1"/>
  <c r="P11" i="5"/>
  <c r="P10" i="5"/>
  <c r="M10" i="5"/>
  <c r="P4" i="5"/>
  <c r="P2" i="5"/>
  <c r="O6" i="2"/>
  <c r="M4" i="2"/>
  <c r="O3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400-000004000000}">
      <text>
        <r>
          <rPr>
            <sz val="10"/>
            <color rgb="FF000000"/>
            <rFont val="Arial"/>
            <scheme val="minor"/>
          </rPr>
          <t>find code and add
	-Beata Cheung</t>
        </r>
      </text>
    </comment>
    <comment ref="G9" authorId="0" shapeId="0" xr:uid="{00000000-0006-0000-0400-000003000000}">
      <text>
        <r>
          <rPr>
            <sz val="10"/>
            <color rgb="FF000000"/>
            <rFont val="Arial"/>
            <scheme val="minor"/>
          </rPr>
          <t>did not say how it was coded
	-Beata Cheung</t>
        </r>
      </text>
    </comment>
    <comment ref="I9" authorId="0" shapeId="0" xr:uid="{00000000-0006-0000-0400-000002000000}">
      <text>
        <r>
          <rPr>
            <sz val="10"/>
            <color rgb="FF000000"/>
            <rFont val="Arial"/>
            <scheme val="minor"/>
          </rPr>
          <t>no code found
	-Beata Cheung</t>
        </r>
      </text>
    </comment>
    <comment ref="L11" authorId="0" shapeId="0" xr:uid="{00000000-0006-0000-0400-000001000000}">
      <text>
        <r>
          <rPr>
            <sz val="10"/>
            <color rgb="FF000000"/>
            <rFont val="Arial"/>
            <scheme val="minor"/>
          </rPr>
          <t>salp + unexposed, Table 2
	-Beata Cheung</t>
        </r>
      </text>
    </comment>
  </commentList>
</comments>
</file>

<file path=xl/sharedStrings.xml><?xml version="1.0" encoding="utf-8"?>
<sst xmlns="http://schemas.openxmlformats.org/spreadsheetml/2006/main" count="1192" uniqueCount="248">
  <si>
    <t>Study</t>
  </si>
  <si>
    <t>Author</t>
  </si>
  <si>
    <t>Year</t>
  </si>
  <si>
    <t>Location</t>
  </si>
  <si>
    <t>Study Design</t>
  </si>
  <si>
    <t>Intervention</t>
  </si>
  <si>
    <t>How was the intervention ascertained? (e.g. medical record, self-report)</t>
  </si>
  <si>
    <t>Outcome</t>
  </si>
  <si>
    <t>How was the outcome defined? (e.g. self-reported, ICD)</t>
  </si>
  <si>
    <t>Follow-up years</t>
  </si>
  <si>
    <t>Histological subtype of ovarian cancer</t>
  </si>
  <si>
    <t>Number of cases (OC)</t>
  </si>
  <si>
    <t>Number of controls (no OC)</t>
  </si>
  <si>
    <t>Salpingectomy sample size</t>
  </si>
  <si>
    <t>No salpingectomy sample size</t>
  </si>
  <si>
    <t>Total sample size</t>
  </si>
  <si>
    <t>Mean age of no salpingectomy group</t>
  </si>
  <si>
    <t>Mean age of salpingectomy group</t>
  </si>
  <si>
    <t xml:space="preserve">Effect </t>
  </si>
  <si>
    <t>Estimate</t>
  </si>
  <si>
    <t>CILL</t>
  </si>
  <si>
    <t>CIUL</t>
  </si>
  <si>
    <t>Covariates adjusted for</t>
  </si>
  <si>
    <t>Chen</t>
  </si>
  <si>
    <t>China</t>
  </si>
  <si>
    <t>Case-control</t>
  </si>
  <si>
    <t>Salpingectomy</t>
  </si>
  <si>
    <t>Medical records</t>
  </si>
  <si>
    <t>Epithelial Ovarian cancer</t>
  </si>
  <si>
    <t xml:space="preserve">Epithelial </t>
  </si>
  <si>
    <t>OR</t>
  </si>
  <si>
    <t>age, child number, menopause status</t>
  </si>
  <si>
    <t>Darelius</t>
  </si>
  <si>
    <t>Sweden</t>
  </si>
  <si>
    <t>Swedish classification of procedures</t>
  </si>
  <si>
    <t>Ovarian cancer</t>
  </si>
  <si>
    <t>ICD 7-10</t>
  </si>
  <si>
    <t>Type 1</t>
  </si>
  <si>
    <t>Type 2</t>
  </si>
  <si>
    <t>Endometriosis, pelvic inflammatory disease, other surgical procedures</t>
  </si>
  <si>
    <t>Duus</t>
  </si>
  <si>
    <t>Denmark</t>
  </si>
  <si>
    <t>Case-Control</t>
  </si>
  <si>
    <t>salpingectomy</t>
  </si>
  <si>
    <t>National Patient Registry - surgical codes</t>
  </si>
  <si>
    <t>Ovarian Cancer</t>
  </si>
  <si>
    <t xml:space="preserve">ICD-10 </t>
  </si>
  <si>
    <t>serous, endometrioid, clear cell, mucinous or other</t>
  </si>
  <si>
    <t>Unilateral</t>
  </si>
  <si>
    <t>age, parity, infertility, endometriosis, PID, hysteretomy, tubal ligation</t>
  </si>
  <si>
    <t>Bilateral</t>
  </si>
  <si>
    <t>Falconer</t>
  </si>
  <si>
    <t>Cohort study</t>
  </si>
  <si>
    <t>ICD-7 to ICD-10</t>
  </si>
  <si>
    <t>ICD-7</t>
  </si>
  <si>
    <t>Mean                    Salp: 17.8 (10.8)                No salp: 22.8 (12.5)</t>
  </si>
  <si>
    <t>Any</t>
  </si>
  <si>
    <t>35.9 (20.6)</t>
  </si>
  <si>
    <t>34.5 (8.7)</t>
  </si>
  <si>
    <t>HR</t>
  </si>
  <si>
    <t>age, calendar time, education status, parity</t>
  </si>
  <si>
    <t>Mean             No Salp: 23.1 (SD 12.4)                  salp: 18.0 (SD 10.5)</t>
  </si>
  <si>
    <t>35.7 (8.9)</t>
  </si>
  <si>
    <t>Giannakeas</t>
  </si>
  <si>
    <t>Ontario, Canada</t>
  </si>
  <si>
    <t>Cohort</t>
  </si>
  <si>
    <t>Salpingectomy (Uni and Bi)</t>
  </si>
  <si>
    <t>Healthcare databases and records</t>
  </si>
  <si>
    <t>Invasive Ovarian Cancer (epithelial ovarian, fallopian tube, or peritoneal cance)</t>
  </si>
  <si>
    <t>ICD-10</t>
  </si>
  <si>
    <t xml:space="preserve">Salpingectomy: 7.4 [0-29.2]; non-surgical: 7.5 [0-29.2] </t>
  </si>
  <si>
    <t>Epithelial, Fallopian Tube, Peritoneal</t>
  </si>
  <si>
    <t>42.0(7.7)</t>
  </si>
  <si>
    <t>income quintile, rurality of residence, years eligible for provincial health coverage, number of primary care visits, history of supracervical hysterectomy, and individual aggregate diagnosis groups.</t>
  </si>
  <si>
    <t>Hanley</t>
  </si>
  <si>
    <t>Canada</t>
  </si>
  <si>
    <t>Retrospective cohort study</t>
  </si>
  <si>
    <t>Canadian Classification of Health Intervention codes</t>
  </si>
  <si>
    <t>ICD-O</t>
  </si>
  <si>
    <t>Median (IQR)          Salp: 3.2 (1.6-5.1)        No salp: 7.3 (4.6-8.7)</t>
  </si>
  <si>
    <t>Serous</t>
  </si>
  <si>
    <t>REMOVE - no ORs</t>
  </si>
  <si>
    <t>Harnod</t>
  </si>
  <si>
    <t>Taiwan</t>
  </si>
  <si>
    <t>Bilateral salpingectomy</t>
  </si>
  <si>
    <t>National Health Insurance Research Database (ICD-9-OP)</t>
  </si>
  <si>
    <t>ICD-9-CM</t>
  </si>
  <si>
    <t>Median                 Salp: 6.74;            no salp: 7.29</t>
  </si>
  <si>
    <t>45.5 (11.1)</t>
  </si>
  <si>
    <t>33.0 (7.71)</t>
  </si>
  <si>
    <t>Age, endometriosis, pelvic inflammatory disease, ectopic pregnancy</t>
  </si>
  <si>
    <t>Lessard-Anderson</t>
  </si>
  <si>
    <t>Minnesota, USA</t>
  </si>
  <si>
    <t>tubal sterilization (any/excisional)</t>
  </si>
  <si>
    <t xml:space="preserve">Operative and Pathology Reports </t>
  </si>
  <si>
    <t>serous EOC and PPC</t>
  </si>
  <si>
    <t>pathology report</t>
  </si>
  <si>
    <t>serous, mixed serous, not documented</t>
  </si>
  <si>
    <t>prior hysterectomy, prior salpingo-oophorectomy, oral contraceptive use (yes vs no vs unknown), endometriosis, infertility, gravidity (0 vs ≥1), and parity (0 vs ≥1),</t>
  </si>
  <si>
    <r>
      <rPr>
        <sz val="10"/>
        <color theme="1"/>
        <rFont val="Arial"/>
      </rPr>
      <t>*</t>
    </r>
    <r>
      <rPr>
        <b/>
        <sz val="10"/>
        <color theme="1"/>
        <rFont val="Arial"/>
      </rPr>
      <t>OR includes distal fibriectomy in the numbers (not only the salpingectomies)</t>
    </r>
  </si>
  <si>
    <t>Madsen</t>
  </si>
  <si>
    <t>Nested case-control</t>
  </si>
  <si>
    <t>Unilateral or bilateral salpingectomy</t>
  </si>
  <si>
    <t>ICD-8 from 1977-1993, ICD-10 from 1994 onwards - National Database</t>
  </si>
  <si>
    <t>ICD-10 and ICD-O-3</t>
  </si>
  <si>
    <t>epithelial or borderline</t>
  </si>
  <si>
    <t>age, parity (0, 1, 2, ≥3), and tubal ligation</t>
  </si>
  <si>
    <t>No surgery: 13,135 Unilateral: 89 Bilateral: 17</t>
  </si>
  <si>
    <t>No surgery: 192,896 Unilateral: 1382  Bilateral: 411</t>
  </si>
  <si>
    <t>VanLieshout</t>
  </si>
  <si>
    <t>Netherlands</t>
  </si>
  <si>
    <t>Case-Control (age-matched)</t>
  </si>
  <si>
    <t>national pathology database</t>
  </si>
  <si>
    <t>Ovarian Cancer (ovarian cancer, fallopian tube cancer, peritoneal cancer)</t>
  </si>
  <si>
    <t>Pathology report</t>
  </si>
  <si>
    <t>Median salp: 13 (IQR 8.5-18); no salp: 13.5 (IQR 8.7-18.6)</t>
  </si>
  <si>
    <t>all</t>
  </si>
  <si>
    <t>age</t>
  </si>
  <si>
    <t>bilateral salpingectomy resulted in a greater risk reduction than unilateral (0.43 vs 0.81)</t>
  </si>
  <si>
    <t>Australia</t>
  </si>
  <si>
    <t>First Author</t>
  </si>
  <si>
    <t>Publication Year</t>
  </si>
  <si>
    <t>Effect measure (RR, OR, HR)</t>
  </si>
  <si>
    <t>Risk estimate</t>
  </si>
  <si>
    <t>95% CI lower limit</t>
  </si>
  <si>
    <t>95% CI upper limit</t>
  </si>
  <si>
    <t xml:space="preserve"> Salpingectomy</t>
  </si>
  <si>
    <t>Hysterectomy and bilateral salpingectomy</t>
  </si>
  <si>
    <t>Data linkage</t>
  </si>
  <si>
    <t>Mean             Salp: 23.1 (SD 12.4)                  No salp: 18.0 (SD 10.5)</t>
  </si>
  <si>
    <t>95% epithelial cell</t>
  </si>
  <si>
    <t>ICD-8 from 1977-1993, ICD-10 from 1994 onwards</t>
  </si>
  <si>
    <t>ICD-O-3</t>
  </si>
  <si>
    <t xml:space="preserve">Unilateral: 0.90 Bilateral: 0.58  </t>
  </si>
  <si>
    <t>Unilateral: 0.72 Bilateral: 0.36</t>
  </si>
  <si>
    <t>Unilateral: 1.12 Bilateral: 0.95</t>
  </si>
  <si>
    <t>Age, parity, tubal ligation</t>
  </si>
  <si>
    <t>NOS SCORE</t>
  </si>
  <si>
    <t>medical record</t>
  </si>
  <si>
    <t>pregnancy number, live births, OCP use, gynecological surgery history</t>
  </si>
  <si>
    <t>British Columbia, Canada</t>
  </si>
  <si>
    <t>Opportunistic Salpingectomy (hysterectomy and salpingectomy w/o oophorectomy OR bilateral salpingectomy)</t>
  </si>
  <si>
    <t>Cancer Registries, Screening Program Data</t>
  </si>
  <si>
    <t>serous, epithelial</t>
  </si>
  <si>
    <t>National Patient Registry</t>
  </si>
  <si>
    <t>OR (unilat)</t>
  </si>
  <si>
    <t>OR (bilat)</t>
  </si>
  <si>
    <t>Tianjin, China</t>
  </si>
  <si>
    <t>Epithelial Ovarian Cancer</t>
  </si>
  <si>
    <t>Epithelial</t>
  </si>
  <si>
    <t>Healthcare databases</t>
  </si>
  <si>
    <t xml:space="preserve">Invasive Ovarian Cancer </t>
  </si>
  <si>
    <t>National Inpatioent Register</t>
  </si>
  <si>
    <t>Ovarian and Tubal Cance</t>
  </si>
  <si>
    <t>age, parity</t>
  </si>
  <si>
    <t xml:space="preserve"> Lessard-Anderson</t>
  </si>
  <si>
    <t>Case Control</t>
  </si>
  <si>
    <t>tubal sterilization/external tubal sterlization</t>
  </si>
  <si>
    <t>Medical record</t>
  </si>
  <si>
    <t>serous EOC and PPC (epithelil cell carcinoma; primary peritoneal cancer)</t>
  </si>
  <si>
    <t>Self-reported</t>
  </si>
  <si>
    <t>Any:0.59  External Tubal Sterlization: 0.36</t>
  </si>
  <si>
    <t>Any:0.29  External: 0.13</t>
  </si>
  <si>
    <t>Any: 1.17        External:1.02</t>
  </si>
  <si>
    <t>age, prior hysterectomy, prior salpingo-oophorectomy, oral contraceptive use (yes vs no vs unknown), endometriosis, infertility, gravidity (0 vs ≥1), and parity (0 vs ≥1)</t>
  </si>
  <si>
    <t xml:space="preserve">Falconer </t>
  </si>
  <si>
    <t xml:space="preserve">Cohort </t>
  </si>
  <si>
    <t xml:space="preserve">Saplingectomy </t>
  </si>
  <si>
    <t>National Healthcare data records</t>
  </si>
  <si>
    <t>PID w/ Salp: 18.3; PID w/out Salp:21.9; Salp w/out PID:17.8;  Unexposed:22</t>
  </si>
  <si>
    <t>Multiple</t>
  </si>
  <si>
    <t xml:space="preserve">age, education status, parity, </t>
  </si>
  <si>
    <t>Van Lieshout</t>
  </si>
  <si>
    <t>National Database</t>
  </si>
  <si>
    <t>National database registery</t>
  </si>
  <si>
    <t>ICD version 7 to 10</t>
  </si>
  <si>
    <t>Type 1: 1.16    Type 2: 0.62</t>
  </si>
  <si>
    <t>Type 1: 0.75    Type 2:0.45</t>
  </si>
  <si>
    <t>Type 1: 1.78     Type 2: 0.85</t>
  </si>
  <si>
    <t>Endometreosis; Hx of PID, Infertiliy</t>
  </si>
  <si>
    <t>Significant reduction in Type 2</t>
  </si>
  <si>
    <t>Saplingectomy (Uni or Bi)</t>
  </si>
  <si>
    <t>Uni Salp: 0.73
Bi Salp: 0.46</t>
  </si>
  <si>
    <t>Uni: 0.60
Bi: 0.31</t>
  </si>
  <si>
    <t>Uni: 0.87
Bi: 0.67</t>
  </si>
  <si>
    <t xml:space="preserve">Could not find full text </t>
  </si>
  <si>
    <t>EOC, Fallopian, Perioneal</t>
  </si>
  <si>
    <t>7.4 (0-29.2) years in the salpingectomy group and 7.5 (0-29.2) years in the nonsurgical control group</t>
  </si>
  <si>
    <t>demographic information, health services use, reproductive history, comorbidities, and indications for surgery.</t>
  </si>
  <si>
    <t>Salpingectomy (Bi)</t>
  </si>
  <si>
    <t>National Health Insurance Research Database</t>
  </si>
  <si>
    <t xml:space="preserve">ICD-9-CM </t>
  </si>
  <si>
    <t>Control: 7.29
Salp: 6.74</t>
  </si>
  <si>
    <t>Endometriosis,
PID, ectopic pregnancy, age</t>
  </si>
  <si>
    <t>Salpingectomy (Uni or Bi)</t>
  </si>
  <si>
    <t>Epithelial or Borderline</t>
  </si>
  <si>
    <t>uni: 0.90
bi: 0.58</t>
  </si>
  <si>
    <t>uni: 0.72
bi: 0.36</t>
  </si>
  <si>
    <t>uni: 1.12
bi: 0.95</t>
  </si>
  <si>
    <t>Extractor</t>
  </si>
  <si>
    <t>Quality score</t>
  </si>
  <si>
    <t>TL</t>
  </si>
  <si>
    <t>PG</t>
  </si>
  <si>
    <t>BC</t>
  </si>
  <si>
    <t>National database registery - Swedish Classification of Operations and major procedures</t>
  </si>
  <si>
    <t>Endometreosis; Hx of PID, Hx other surgical procedures</t>
  </si>
  <si>
    <t>age, number of children, menopausal status,</t>
  </si>
  <si>
    <t>No Salp: 23.1 (12.4) Salp: 18 (10.5)</t>
  </si>
  <si>
    <t>30, 830</t>
  </si>
  <si>
    <t>33 (7.71)</t>
  </si>
  <si>
    <t>National database registery - surgical codes</t>
  </si>
  <si>
    <t>*unclear what 'reproductive history' includes however; 'long enough follow up' based on VanLieshout study saying that incidence is greatest in the group &gt;8y of follow-up</t>
  </si>
  <si>
    <t>Both</t>
  </si>
  <si>
    <t>&lt;50</t>
  </si>
  <si>
    <t>Age_group</t>
  </si>
  <si>
    <t>OC_type</t>
  </si>
  <si>
    <t>salping_type</t>
  </si>
  <si>
    <t>0–4</t>
  </si>
  <si>
    <t>5–9</t>
  </si>
  <si>
    <t>Time_sincesurgery</t>
  </si>
  <si>
    <t>All</t>
  </si>
  <si>
    <t>10–19</t>
  </si>
  <si>
    <t>USA</t>
  </si>
  <si>
    <t>Bilateral or Unilateral</t>
  </si>
  <si>
    <t>Intervention_subgroups</t>
  </si>
  <si>
    <t>van Lieshout</t>
  </si>
  <si>
    <t>Epithelial or primary peritoneal</t>
  </si>
  <si>
    <t>Cheung</t>
  </si>
  <si>
    <t>Nested Case-control</t>
  </si>
  <si>
    <t>&lt;10</t>
  </si>
  <si>
    <t>Yen</t>
  </si>
  <si>
    <t>≥10</t>
  </si>
  <si>
    <t>≥20</t>
  </si>
  <si>
    <t>Overall_analysis</t>
  </si>
  <si>
    <t>≥50</t>
  </si>
  <si>
    <t>Notes</t>
  </si>
  <si>
    <t>*ES calculated by pooling age &lt;50 &amp; age ≥50</t>
  </si>
  <si>
    <t>Endometrioid</t>
  </si>
  <si>
    <t>*ES calculated by pooling Type 1 and Type 2 Unilateral ESs</t>
  </si>
  <si>
    <t>*ES calculated by pooling Type 1 and Type 2 bilateral Ess</t>
  </si>
  <si>
    <t>*ES calculated by pooling Type 1 and Type 2 overall ESs</t>
  </si>
  <si>
    <t>*ES calculated by pooling 0-4 and 5-9 years since surgery ESs</t>
  </si>
  <si>
    <t>Mucinous</t>
  </si>
  <si>
    <t>Clear cell</t>
  </si>
  <si>
    <t>histotype_overall</t>
  </si>
  <si>
    <t>Serous and PPC</t>
  </si>
  <si>
    <t>Sample_size</t>
  </si>
  <si>
    <t>Sample_size_SE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</si>
</sst>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0" fontId="2" fillId="4" borderId="0" xfId="0" applyFont="1" applyFill="1" applyAlignment="1">
      <alignment wrapText="1"/>
    </xf>
    <xf numFmtId="0" fontId="2" fillId="4" borderId="0" xfId="0" applyFont="1" applyFill="1"/>
    <xf numFmtId="3" fontId="2" fillId="4" borderId="0" xfId="0" applyNumberFormat="1" applyFont="1" applyFill="1" applyAlignment="1">
      <alignment wrapText="1"/>
    </xf>
    <xf numFmtId="0" fontId="2" fillId="3" borderId="0" xfId="0" applyFont="1" applyFill="1"/>
    <xf numFmtId="3" fontId="2" fillId="0" borderId="0" xfId="0" applyNumberFormat="1" applyFont="1"/>
    <xf numFmtId="0" fontId="3" fillId="5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0" fontId="3" fillId="5" borderId="0" xfId="0" applyFont="1" applyFill="1" applyAlignment="1">
      <alignment horizontal="left" wrapText="1"/>
    </xf>
    <xf numFmtId="0" fontId="2" fillId="6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7" borderId="0" xfId="0" applyFont="1" applyFill="1" applyAlignment="1">
      <alignment wrapText="1"/>
    </xf>
    <xf numFmtId="0" fontId="0" fillId="7" borderId="0" xfId="0" applyFill="1"/>
    <xf numFmtId="0" fontId="7" fillId="7" borderId="0" xfId="0" applyFont="1" applyFill="1"/>
    <xf numFmtId="0" fontId="2" fillId="8" borderId="0" xfId="0" applyFont="1" applyFill="1" applyAlignment="1">
      <alignment wrapText="1"/>
    </xf>
    <xf numFmtId="0" fontId="0" fillId="8" borderId="0" xfId="0" applyFill="1"/>
    <xf numFmtId="0" fontId="7" fillId="8" borderId="0" xfId="0" applyFont="1" applyFill="1"/>
    <xf numFmtId="0" fontId="7" fillId="0" borderId="0" xfId="0" applyFont="1"/>
    <xf numFmtId="0" fontId="0" fillId="9" borderId="0" xfId="0" applyFill="1"/>
    <xf numFmtId="2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C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0"/>
  <sheetViews>
    <sheetView tabSelected="1" zoomScale="130" zoomScaleNormal="130" workbookViewId="0">
      <pane xSplit="2" ySplit="2" topLeftCell="J58" activePane="bottomRight" state="frozen"/>
      <selection pane="topRight" activeCell="B1" sqref="B1"/>
      <selection pane="bottomLeft" activeCell="A2" sqref="A2"/>
      <selection pane="bottomRight" activeCell="P1" sqref="P1"/>
    </sheetView>
  </sheetViews>
  <sheetFormatPr defaultColWidth="12.5703125" defaultRowHeight="15.75" customHeight="1" x14ac:dyDescent="0.2"/>
  <cols>
    <col min="2" max="2" width="16.42578125" customWidth="1"/>
    <col min="5" max="6" width="20.42578125" customWidth="1"/>
    <col min="8" max="8" width="14.85546875" customWidth="1"/>
    <col min="10" max="10" width="19.28515625" customWidth="1"/>
    <col min="12" max="12" width="19" customWidth="1"/>
    <col min="14" max="16" width="17.7109375" customWidth="1"/>
  </cols>
  <sheetData>
    <row r="1" spans="1:20" ht="58.5" customHeight="1" x14ac:dyDescent="0.2">
      <c r="A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/>
      <c r="G1" s="15" t="s">
        <v>214</v>
      </c>
      <c r="H1" s="15" t="s">
        <v>219</v>
      </c>
      <c r="I1" s="15" t="s">
        <v>215</v>
      </c>
      <c r="J1" s="15" t="s">
        <v>216</v>
      </c>
      <c r="K1" s="15" t="s">
        <v>18</v>
      </c>
      <c r="L1" s="15" t="s">
        <v>233</v>
      </c>
      <c r="M1" s="15" t="s">
        <v>224</v>
      </c>
      <c r="N1" s="15" t="s">
        <v>244</v>
      </c>
      <c r="O1" s="15" t="s">
        <v>246</v>
      </c>
      <c r="P1" s="15" t="s">
        <v>247</v>
      </c>
      <c r="Q1" s="15" t="s">
        <v>19</v>
      </c>
      <c r="R1" s="15" t="s">
        <v>20</v>
      </c>
      <c r="S1" s="15" t="s">
        <v>21</v>
      </c>
      <c r="T1" s="15" t="s">
        <v>235</v>
      </c>
    </row>
    <row r="2" spans="1:20" ht="38.25" x14ac:dyDescent="0.2">
      <c r="A2">
        <v>1</v>
      </c>
      <c r="B2" s="2" t="s">
        <v>23</v>
      </c>
      <c r="C2" s="2">
        <v>2018</v>
      </c>
      <c r="D2" s="2" t="s">
        <v>24</v>
      </c>
      <c r="E2" s="2" t="s">
        <v>25</v>
      </c>
      <c r="F2" s="2"/>
      <c r="G2" s="2" t="s">
        <v>220</v>
      </c>
      <c r="H2" s="2" t="s">
        <v>56</v>
      </c>
      <c r="I2" s="2" t="s">
        <v>226</v>
      </c>
      <c r="J2" s="2" t="s">
        <v>223</v>
      </c>
      <c r="K2" s="2" t="s">
        <v>30</v>
      </c>
      <c r="L2" s="2">
        <v>1</v>
      </c>
      <c r="M2" s="2"/>
      <c r="N2" s="2"/>
      <c r="O2" s="2">
        <v>587</v>
      </c>
      <c r="P2" s="2">
        <v>437</v>
      </c>
      <c r="Q2" s="24">
        <f>1/2.08</f>
        <v>0.48076923076923073</v>
      </c>
      <c r="R2" s="24">
        <f>1/3.227</f>
        <v>0.3098853424233034</v>
      </c>
      <c r="S2" s="24">
        <f>1/1.34</f>
        <v>0.74626865671641784</v>
      </c>
    </row>
    <row r="3" spans="1:20" ht="12.75" x14ac:dyDescent="0.2">
      <c r="A3">
        <v>2</v>
      </c>
      <c r="B3" s="2" t="s">
        <v>32</v>
      </c>
      <c r="C3" s="2">
        <v>2021</v>
      </c>
      <c r="D3" s="2" t="s">
        <v>33</v>
      </c>
      <c r="E3" s="2" t="s">
        <v>228</v>
      </c>
      <c r="F3" s="2"/>
      <c r="G3" t="s">
        <v>220</v>
      </c>
      <c r="H3" t="s">
        <v>56</v>
      </c>
      <c r="I3" t="s">
        <v>149</v>
      </c>
      <c r="J3" t="s">
        <v>223</v>
      </c>
      <c r="K3" t="s">
        <v>30</v>
      </c>
      <c r="L3">
        <v>1</v>
      </c>
      <c r="O3">
        <v>43140</v>
      </c>
      <c r="P3">
        <f>23+3+3+149+29+23+43+2+1+503+55+88</f>
        <v>922</v>
      </c>
      <c r="Q3">
        <v>0.77</v>
      </c>
      <c r="R3">
        <v>0.6</v>
      </c>
      <c r="S3">
        <v>1</v>
      </c>
      <c r="T3" t="s">
        <v>240</v>
      </c>
    </row>
    <row r="4" spans="1:20" ht="12.75" x14ac:dyDescent="0.2">
      <c r="A4">
        <v>2</v>
      </c>
      <c r="B4" s="2" t="s">
        <v>32</v>
      </c>
      <c r="C4" s="2">
        <v>2021</v>
      </c>
      <c r="D4" s="2" t="s">
        <v>33</v>
      </c>
      <c r="E4" s="2" t="s">
        <v>228</v>
      </c>
      <c r="F4" s="2"/>
      <c r="G4" t="s">
        <v>220</v>
      </c>
      <c r="H4" t="s">
        <v>56</v>
      </c>
      <c r="I4" t="s">
        <v>149</v>
      </c>
      <c r="J4" t="s">
        <v>48</v>
      </c>
      <c r="K4" t="s">
        <v>30</v>
      </c>
      <c r="M4">
        <v>1</v>
      </c>
      <c r="Q4">
        <v>0.88</v>
      </c>
      <c r="R4">
        <v>0.67</v>
      </c>
      <c r="S4">
        <v>1.1499999999999999</v>
      </c>
      <c r="T4" t="s">
        <v>238</v>
      </c>
    </row>
    <row r="5" spans="1:20" ht="12.75" x14ac:dyDescent="0.2">
      <c r="A5">
        <v>2</v>
      </c>
      <c r="B5" s="2" t="s">
        <v>32</v>
      </c>
      <c r="C5" s="2">
        <v>2021</v>
      </c>
      <c r="D5" s="2" t="s">
        <v>33</v>
      </c>
      <c r="E5" s="2" t="s">
        <v>228</v>
      </c>
      <c r="F5" s="2"/>
      <c r="G5" t="s">
        <v>220</v>
      </c>
      <c r="H5" t="s">
        <v>56</v>
      </c>
      <c r="I5" t="s">
        <v>149</v>
      </c>
      <c r="J5" t="s">
        <v>50</v>
      </c>
      <c r="K5" t="s">
        <v>30</v>
      </c>
      <c r="M5">
        <v>1</v>
      </c>
      <c r="Q5">
        <v>0.54</v>
      </c>
      <c r="R5">
        <v>0.18</v>
      </c>
      <c r="S5">
        <v>1.63</v>
      </c>
      <c r="T5" t="s">
        <v>239</v>
      </c>
    </row>
    <row r="6" spans="1:20" ht="12.75" x14ac:dyDescent="0.2">
      <c r="A6">
        <v>2</v>
      </c>
      <c r="B6" s="2" t="s">
        <v>32</v>
      </c>
      <c r="C6" s="2">
        <v>2021</v>
      </c>
      <c r="D6" s="2" t="s">
        <v>33</v>
      </c>
      <c r="E6" s="2" t="s">
        <v>228</v>
      </c>
      <c r="F6" s="2"/>
      <c r="G6" t="s">
        <v>220</v>
      </c>
      <c r="H6" t="s">
        <v>56</v>
      </c>
      <c r="I6" t="s">
        <v>37</v>
      </c>
      <c r="J6" t="s">
        <v>223</v>
      </c>
      <c r="K6" t="s">
        <v>30</v>
      </c>
      <c r="Q6">
        <v>1.1599999999999999</v>
      </c>
      <c r="R6">
        <v>0.75</v>
      </c>
      <c r="S6">
        <v>1.78</v>
      </c>
    </row>
    <row r="7" spans="1:20" ht="12.75" x14ac:dyDescent="0.2">
      <c r="A7">
        <v>2</v>
      </c>
      <c r="B7" s="2" t="s">
        <v>32</v>
      </c>
      <c r="C7" s="2">
        <v>2021</v>
      </c>
      <c r="D7" s="2" t="s">
        <v>33</v>
      </c>
      <c r="E7" s="2" t="s">
        <v>228</v>
      </c>
      <c r="F7" s="2"/>
      <c r="G7" t="s">
        <v>220</v>
      </c>
      <c r="H7" t="s">
        <v>56</v>
      </c>
      <c r="I7" t="s">
        <v>37</v>
      </c>
      <c r="J7" t="s">
        <v>48</v>
      </c>
      <c r="K7" t="s">
        <v>30</v>
      </c>
      <c r="Q7">
        <v>1.22</v>
      </c>
      <c r="R7">
        <v>0.76</v>
      </c>
      <c r="S7">
        <v>1.96</v>
      </c>
    </row>
    <row r="8" spans="1:20" ht="12.75" x14ac:dyDescent="0.2">
      <c r="A8">
        <v>2</v>
      </c>
      <c r="B8" s="2" t="s">
        <v>32</v>
      </c>
      <c r="C8" s="2">
        <v>2021</v>
      </c>
      <c r="D8" s="2" t="s">
        <v>33</v>
      </c>
      <c r="E8" s="2" t="s">
        <v>228</v>
      </c>
      <c r="F8" s="2"/>
      <c r="G8" t="s">
        <v>220</v>
      </c>
      <c r="H8" t="s">
        <v>56</v>
      </c>
      <c r="I8" t="s">
        <v>37</v>
      </c>
      <c r="J8" t="s">
        <v>50</v>
      </c>
      <c r="K8" t="s">
        <v>30</v>
      </c>
      <c r="Q8">
        <v>1</v>
      </c>
      <c r="R8">
        <v>0.28000000000000003</v>
      </c>
      <c r="S8">
        <v>3.61</v>
      </c>
    </row>
    <row r="9" spans="1:20" ht="12.75" x14ac:dyDescent="0.2">
      <c r="A9">
        <v>2</v>
      </c>
      <c r="B9" s="2" t="s">
        <v>32</v>
      </c>
      <c r="C9" s="2">
        <v>2021</v>
      </c>
      <c r="D9" s="2" t="s">
        <v>33</v>
      </c>
      <c r="E9" s="2" t="s">
        <v>228</v>
      </c>
      <c r="F9" s="2"/>
      <c r="G9" t="s">
        <v>220</v>
      </c>
      <c r="H9" t="s">
        <v>56</v>
      </c>
      <c r="I9" t="s">
        <v>38</v>
      </c>
      <c r="J9" t="s">
        <v>223</v>
      </c>
      <c r="K9" t="s">
        <v>30</v>
      </c>
      <c r="Q9">
        <v>0.62</v>
      </c>
      <c r="R9">
        <v>0.45</v>
      </c>
      <c r="S9">
        <v>0.85</v>
      </c>
    </row>
    <row r="10" spans="1:20" ht="12.75" x14ac:dyDescent="0.2">
      <c r="A10">
        <v>2</v>
      </c>
      <c r="B10" s="2" t="s">
        <v>32</v>
      </c>
      <c r="C10" s="2">
        <v>2021</v>
      </c>
      <c r="D10" s="2" t="s">
        <v>33</v>
      </c>
      <c r="E10" s="2" t="s">
        <v>228</v>
      </c>
      <c r="F10" s="2"/>
      <c r="G10" t="s">
        <v>220</v>
      </c>
      <c r="H10" t="s">
        <v>56</v>
      </c>
      <c r="I10" t="s">
        <v>38</v>
      </c>
      <c r="J10" t="s">
        <v>48</v>
      </c>
      <c r="K10" t="s">
        <v>30</v>
      </c>
      <c r="Q10">
        <v>0.75</v>
      </c>
      <c r="R10">
        <v>0.54</v>
      </c>
      <c r="S10">
        <v>1.04</v>
      </c>
    </row>
    <row r="11" spans="1:20" ht="12.75" x14ac:dyDescent="0.2">
      <c r="A11">
        <v>2</v>
      </c>
      <c r="B11" s="2" t="s">
        <v>32</v>
      </c>
      <c r="C11" s="2">
        <v>2021</v>
      </c>
      <c r="D11" s="2" t="s">
        <v>33</v>
      </c>
      <c r="E11" s="2" t="s">
        <v>228</v>
      </c>
      <c r="F11" s="2"/>
      <c r="G11" t="s">
        <v>220</v>
      </c>
      <c r="H11" t="s">
        <v>56</v>
      </c>
      <c r="I11" t="s">
        <v>38</v>
      </c>
      <c r="J11" t="s">
        <v>50</v>
      </c>
      <c r="K11" t="s">
        <v>30</v>
      </c>
      <c r="Q11">
        <v>0.1</v>
      </c>
      <c r="R11">
        <v>0.01</v>
      </c>
      <c r="S11">
        <v>0.71</v>
      </c>
    </row>
    <row r="12" spans="1:20" ht="12.75" x14ac:dyDescent="0.2">
      <c r="A12">
        <v>3</v>
      </c>
      <c r="B12" s="2" t="s">
        <v>40</v>
      </c>
      <c r="C12" s="2">
        <v>2023</v>
      </c>
      <c r="D12" s="2" t="s">
        <v>41</v>
      </c>
      <c r="E12" s="2" t="s">
        <v>228</v>
      </c>
      <c r="F12" s="2"/>
      <c r="G12" t="s">
        <v>220</v>
      </c>
      <c r="H12" t="s">
        <v>56</v>
      </c>
      <c r="I12" t="s">
        <v>149</v>
      </c>
      <c r="J12" t="s">
        <v>223</v>
      </c>
      <c r="K12" t="s">
        <v>30</v>
      </c>
      <c r="L12">
        <v>1</v>
      </c>
      <c r="O12">
        <f>16822+672880</f>
        <v>689702</v>
      </c>
      <c r="P12">
        <f>119+27+5542+1930</f>
        <v>7618</v>
      </c>
      <c r="Q12">
        <v>0.67</v>
      </c>
      <c r="R12">
        <v>0.56999999999999995</v>
      </c>
      <c r="S12">
        <v>0.79</v>
      </c>
      <c r="T12" t="s">
        <v>236</v>
      </c>
    </row>
    <row r="13" spans="1:20" ht="12.75" x14ac:dyDescent="0.2">
      <c r="A13">
        <v>3</v>
      </c>
      <c r="B13" s="2" t="s">
        <v>40</v>
      </c>
      <c r="C13" s="2">
        <v>2023</v>
      </c>
      <c r="D13" s="2" t="s">
        <v>41</v>
      </c>
      <c r="E13" s="2" t="s">
        <v>228</v>
      </c>
      <c r="F13" s="2"/>
      <c r="G13" t="s">
        <v>220</v>
      </c>
      <c r="H13" t="s">
        <v>56</v>
      </c>
      <c r="I13" t="s">
        <v>149</v>
      </c>
      <c r="J13" t="s">
        <v>48</v>
      </c>
      <c r="K13" t="s">
        <v>30</v>
      </c>
      <c r="M13">
        <v>1</v>
      </c>
      <c r="Q13">
        <v>0.73</v>
      </c>
      <c r="R13">
        <v>0.6</v>
      </c>
      <c r="S13">
        <v>0.87</v>
      </c>
    </row>
    <row r="14" spans="1:20" ht="12.75" x14ac:dyDescent="0.2">
      <c r="A14">
        <v>3</v>
      </c>
      <c r="B14" s="2" t="s">
        <v>40</v>
      </c>
      <c r="C14" s="2">
        <v>2023</v>
      </c>
      <c r="D14" s="2" t="s">
        <v>41</v>
      </c>
      <c r="E14" s="2" t="s">
        <v>228</v>
      </c>
      <c r="F14" s="2"/>
      <c r="G14" t="s">
        <v>220</v>
      </c>
      <c r="H14" t="s">
        <v>56</v>
      </c>
      <c r="I14" t="s">
        <v>149</v>
      </c>
      <c r="J14" t="s">
        <v>50</v>
      </c>
      <c r="K14" t="s">
        <v>30</v>
      </c>
      <c r="M14">
        <v>1</v>
      </c>
      <c r="Q14">
        <v>0.46</v>
      </c>
      <c r="R14">
        <v>0.31</v>
      </c>
      <c r="S14">
        <v>0.87</v>
      </c>
    </row>
    <row r="15" spans="1:20" ht="12.75" x14ac:dyDescent="0.2">
      <c r="A15">
        <v>3</v>
      </c>
      <c r="B15" s="2" t="s">
        <v>40</v>
      </c>
      <c r="C15" s="2">
        <v>2023</v>
      </c>
      <c r="D15" s="2" t="s">
        <v>41</v>
      </c>
      <c r="E15" s="2" t="s">
        <v>228</v>
      </c>
      <c r="F15" s="2"/>
      <c r="G15" t="s">
        <v>220</v>
      </c>
      <c r="H15" t="s">
        <v>56</v>
      </c>
      <c r="I15" t="s">
        <v>237</v>
      </c>
      <c r="J15" t="s">
        <v>48</v>
      </c>
      <c r="K15" t="s">
        <v>30</v>
      </c>
      <c r="N15">
        <v>1</v>
      </c>
      <c r="Q15">
        <v>0.44</v>
      </c>
      <c r="R15">
        <v>0.22</v>
      </c>
      <c r="S15">
        <v>0.89</v>
      </c>
    </row>
    <row r="16" spans="1:20" ht="12.75" x14ac:dyDescent="0.2">
      <c r="A16">
        <v>3</v>
      </c>
      <c r="B16" s="2" t="s">
        <v>40</v>
      </c>
      <c r="C16" s="2">
        <v>2023</v>
      </c>
      <c r="D16" s="2" t="s">
        <v>41</v>
      </c>
      <c r="E16" s="2" t="s">
        <v>228</v>
      </c>
      <c r="F16" s="2"/>
      <c r="G16" t="s">
        <v>220</v>
      </c>
      <c r="H16" t="s">
        <v>56</v>
      </c>
      <c r="I16" t="s">
        <v>237</v>
      </c>
      <c r="J16" t="s">
        <v>50</v>
      </c>
      <c r="K16" t="s">
        <v>30</v>
      </c>
      <c r="N16">
        <v>1</v>
      </c>
      <c r="Q16">
        <v>0.48</v>
      </c>
      <c r="R16">
        <v>0.15</v>
      </c>
      <c r="S16">
        <v>1.51</v>
      </c>
    </row>
    <row r="17" spans="1:19" ht="12.75" x14ac:dyDescent="0.2">
      <c r="A17">
        <v>3</v>
      </c>
      <c r="B17" s="2" t="s">
        <v>40</v>
      </c>
      <c r="C17" s="2">
        <v>2023</v>
      </c>
      <c r="D17" s="2" t="s">
        <v>41</v>
      </c>
      <c r="E17" s="2" t="s">
        <v>228</v>
      </c>
      <c r="F17" s="2"/>
      <c r="G17" t="s">
        <v>220</v>
      </c>
      <c r="H17" t="s">
        <v>56</v>
      </c>
      <c r="I17" t="s">
        <v>237</v>
      </c>
      <c r="J17" t="s">
        <v>223</v>
      </c>
      <c r="K17" t="s">
        <v>30</v>
      </c>
    </row>
    <row r="18" spans="1:19" ht="12.75" x14ac:dyDescent="0.2">
      <c r="A18">
        <v>3</v>
      </c>
      <c r="B18" s="2" t="s">
        <v>40</v>
      </c>
      <c r="C18" s="2">
        <v>2023</v>
      </c>
      <c r="D18" s="2" t="s">
        <v>41</v>
      </c>
      <c r="E18" s="2" t="s">
        <v>228</v>
      </c>
      <c r="F18" s="2"/>
      <c r="G18" t="s">
        <v>220</v>
      </c>
      <c r="H18" t="s">
        <v>56</v>
      </c>
      <c r="I18" t="s">
        <v>80</v>
      </c>
      <c r="J18" t="s">
        <v>48</v>
      </c>
      <c r="K18" t="s">
        <v>30</v>
      </c>
      <c r="N18">
        <v>1</v>
      </c>
      <c r="Q18">
        <v>0.77</v>
      </c>
      <c r="R18">
        <v>0.61</v>
      </c>
      <c r="S18">
        <v>0.98</v>
      </c>
    </row>
    <row r="19" spans="1:19" ht="12.75" x14ac:dyDescent="0.2">
      <c r="A19">
        <v>3</v>
      </c>
      <c r="B19" s="2" t="s">
        <v>40</v>
      </c>
      <c r="C19" s="2">
        <v>2023</v>
      </c>
      <c r="D19" s="2" t="s">
        <v>41</v>
      </c>
      <c r="E19" s="2" t="s">
        <v>228</v>
      </c>
      <c r="F19" s="2"/>
      <c r="G19" t="s">
        <v>220</v>
      </c>
      <c r="H19" t="s">
        <v>56</v>
      </c>
      <c r="I19" t="s">
        <v>80</v>
      </c>
      <c r="J19" t="s">
        <v>50</v>
      </c>
      <c r="K19" t="s">
        <v>30</v>
      </c>
      <c r="N19">
        <v>1</v>
      </c>
      <c r="Q19">
        <v>0.44</v>
      </c>
      <c r="R19">
        <v>0.27</v>
      </c>
      <c r="S19">
        <v>0.73</v>
      </c>
    </row>
    <row r="20" spans="1:19" ht="12.75" x14ac:dyDescent="0.2">
      <c r="A20">
        <v>3</v>
      </c>
      <c r="B20" s="2" t="s">
        <v>40</v>
      </c>
      <c r="C20" s="2">
        <v>2023</v>
      </c>
      <c r="D20" s="2" t="s">
        <v>41</v>
      </c>
      <c r="E20" s="2" t="s">
        <v>228</v>
      </c>
      <c r="F20" s="2"/>
      <c r="G20" t="s">
        <v>220</v>
      </c>
      <c r="H20" t="s">
        <v>56</v>
      </c>
      <c r="I20" t="s">
        <v>80</v>
      </c>
      <c r="J20" t="s">
        <v>223</v>
      </c>
      <c r="K20" t="s">
        <v>30</v>
      </c>
    </row>
    <row r="21" spans="1:19" ht="12.75" x14ac:dyDescent="0.2">
      <c r="A21">
        <v>3</v>
      </c>
      <c r="B21" s="2" t="s">
        <v>40</v>
      </c>
      <c r="C21" s="2">
        <v>2023</v>
      </c>
      <c r="D21" s="2" t="s">
        <v>41</v>
      </c>
      <c r="E21" s="2" t="s">
        <v>228</v>
      </c>
      <c r="F21" s="2"/>
      <c r="G21" t="s">
        <v>220</v>
      </c>
      <c r="H21" t="s">
        <v>56</v>
      </c>
      <c r="I21" s="2" t="s">
        <v>242</v>
      </c>
      <c r="J21" s="2" t="s">
        <v>48</v>
      </c>
      <c r="K21" t="s">
        <v>30</v>
      </c>
      <c r="N21">
        <v>1</v>
      </c>
      <c r="Q21">
        <v>0.52</v>
      </c>
      <c r="R21">
        <v>0.25</v>
      </c>
      <c r="S21">
        <v>1.05</v>
      </c>
    </row>
    <row r="22" spans="1:19" ht="12.75" x14ac:dyDescent="0.2">
      <c r="A22">
        <v>3</v>
      </c>
      <c r="B22" s="2" t="s">
        <v>40</v>
      </c>
      <c r="C22" s="2">
        <v>2023</v>
      </c>
      <c r="D22" s="2" t="s">
        <v>41</v>
      </c>
      <c r="E22" s="2" t="s">
        <v>228</v>
      </c>
      <c r="F22" s="2"/>
      <c r="G22" t="s">
        <v>220</v>
      </c>
      <c r="H22" t="s">
        <v>56</v>
      </c>
      <c r="I22" s="2" t="s">
        <v>242</v>
      </c>
      <c r="J22" s="2" t="s">
        <v>50</v>
      </c>
      <c r="K22" t="s">
        <v>30</v>
      </c>
      <c r="N22">
        <v>1</v>
      </c>
      <c r="Q22">
        <v>0.2</v>
      </c>
      <c r="R22">
        <v>0.03</v>
      </c>
      <c r="S22">
        <v>1.44</v>
      </c>
    </row>
    <row r="23" spans="1:19" ht="12.75" x14ac:dyDescent="0.2">
      <c r="A23">
        <v>3</v>
      </c>
      <c r="B23" s="2" t="s">
        <v>40</v>
      </c>
      <c r="C23" s="2">
        <v>2023</v>
      </c>
      <c r="D23" s="2" t="s">
        <v>41</v>
      </c>
      <c r="E23" s="2" t="s">
        <v>228</v>
      </c>
      <c r="F23" s="2"/>
      <c r="G23" t="s">
        <v>220</v>
      </c>
      <c r="H23" t="s">
        <v>56</v>
      </c>
      <c r="I23" s="2" t="s">
        <v>242</v>
      </c>
      <c r="J23" t="s">
        <v>223</v>
      </c>
      <c r="K23" t="s">
        <v>30</v>
      </c>
    </row>
    <row r="24" spans="1:19" ht="12.75" x14ac:dyDescent="0.2">
      <c r="A24">
        <v>3</v>
      </c>
      <c r="B24" s="2" t="s">
        <v>40</v>
      </c>
      <c r="C24" s="2">
        <v>2023</v>
      </c>
      <c r="D24" s="2" t="s">
        <v>41</v>
      </c>
      <c r="E24" s="2" t="s">
        <v>228</v>
      </c>
      <c r="F24" s="2"/>
      <c r="G24" t="s">
        <v>220</v>
      </c>
      <c r="H24" t="s">
        <v>56</v>
      </c>
      <c r="I24" s="2" t="s">
        <v>243</v>
      </c>
      <c r="J24" s="2" t="s">
        <v>48</v>
      </c>
      <c r="K24" t="s">
        <v>30</v>
      </c>
      <c r="N24">
        <v>1</v>
      </c>
      <c r="Q24">
        <v>1.01</v>
      </c>
      <c r="R24">
        <v>0.52</v>
      </c>
      <c r="S24">
        <v>1.95</v>
      </c>
    </row>
    <row r="25" spans="1:19" ht="12.75" x14ac:dyDescent="0.2">
      <c r="A25">
        <v>3</v>
      </c>
      <c r="B25" s="2" t="s">
        <v>40</v>
      </c>
      <c r="C25" s="2">
        <v>2023</v>
      </c>
      <c r="D25" s="2" t="s">
        <v>41</v>
      </c>
      <c r="E25" s="2" t="s">
        <v>228</v>
      </c>
      <c r="F25" s="2"/>
      <c r="G25" t="s">
        <v>220</v>
      </c>
      <c r="H25" t="s">
        <v>56</v>
      </c>
      <c r="I25" s="2" t="s">
        <v>243</v>
      </c>
      <c r="J25" s="2" t="s">
        <v>50</v>
      </c>
      <c r="K25" t="s">
        <v>30</v>
      </c>
      <c r="N25">
        <v>1</v>
      </c>
      <c r="Q25">
        <v>0.4</v>
      </c>
      <c r="R25">
        <v>0.05</v>
      </c>
      <c r="S25">
        <v>2.92</v>
      </c>
    </row>
    <row r="26" spans="1:19" ht="12.75" x14ac:dyDescent="0.2">
      <c r="A26">
        <v>3</v>
      </c>
      <c r="B26" s="2" t="s">
        <v>40</v>
      </c>
      <c r="C26" s="2">
        <v>2023</v>
      </c>
      <c r="D26" s="2" t="s">
        <v>41</v>
      </c>
      <c r="E26" s="2" t="s">
        <v>228</v>
      </c>
      <c r="F26" s="2"/>
      <c r="G26" t="s">
        <v>220</v>
      </c>
      <c r="H26" t="s">
        <v>56</v>
      </c>
      <c r="I26" s="2" t="s">
        <v>243</v>
      </c>
      <c r="J26" t="s">
        <v>223</v>
      </c>
      <c r="K26" t="s">
        <v>30</v>
      </c>
    </row>
    <row r="27" spans="1:19" ht="12.75" x14ac:dyDescent="0.2">
      <c r="A27">
        <v>3</v>
      </c>
      <c r="B27" s="16" t="s">
        <v>40</v>
      </c>
      <c r="C27" s="16">
        <v>2023</v>
      </c>
      <c r="D27" s="16" t="s">
        <v>41</v>
      </c>
      <c r="E27" s="16" t="s">
        <v>228</v>
      </c>
      <c r="F27" s="16"/>
      <c r="G27" s="17" t="s">
        <v>220</v>
      </c>
      <c r="H27" s="17" t="s">
        <v>229</v>
      </c>
      <c r="I27" s="17" t="s">
        <v>149</v>
      </c>
      <c r="J27" s="17" t="s">
        <v>223</v>
      </c>
      <c r="K27" s="17" t="s">
        <v>30</v>
      </c>
      <c r="L27" s="17"/>
      <c r="M27" s="17"/>
      <c r="N27" s="17"/>
      <c r="O27" s="17"/>
      <c r="P27" s="17"/>
      <c r="Q27" s="17">
        <v>0.74</v>
      </c>
      <c r="R27" s="17">
        <v>0.53</v>
      </c>
      <c r="S27" s="17">
        <v>1.03</v>
      </c>
    </row>
    <row r="28" spans="1:19" ht="27.6" customHeight="1" x14ac:dyDescent="0.2">
      <c r="A28">
        <v>3</v>
      </c>
      <c r="B28" s="16" t="s">
        <v>40</v>
      </c>
      <c r="C28" s="16">
        <v>2023</v>
      </c>
      <c r="D28" s="16" t="s">
        <v>41</v>
      </c>
      <c r="E28" s="16" t="s">
        <v>228</v>
      </c>
      <c r="F28" s="16"/>
      <c r="G28" s="17" t="s">
        <v>220</v>
      </c>
      <c r="H28" s="17" t="s">
        <v>221</v>
      </c>
      <c r="I28" s="17" t="s">
        <v>149</v>
      </c>
      <c r="J28" s="17" t="s">
        <v>223</v>
      </c>
      <c r="K28" s="17" t="s">
        <v>30</v>
      </c>
      <c r="L28" s="17"/>
      <c r="M28" s="17"/>
      <c r="N28" s="17"/>
      <c r="O28" s="17"/>
      <c r="P28" s="17"/>
      <c r="Q28" s="17">
        <v>0.72</v>
      </c>
      <c r="R28" s="17">
        <v>0.55000000000000004</v>
      </c>
      <c r="S28" s="17">
        <v>0.95</v>
      </c>
    </row>
    <row r="29" spans="1:19" ht="12.75" x14ac:dyDescent="0.2">
      <c r="A29">
        <v>3</v>
      </c>
      <c r="B29" s="16" t="s">
        <v>40</v>
      </c>
      <c r="C29" s="16">
        <v>2023</v>
      </c>
      <c r="D29" s="16" t="s">
        <v>41</v>
      </c>
      <c r="E29" s="16" t="s">
        <v>228</v>
      </c>
      <c r="F29" s="16"/>
      <c r="G29" s="17" t="s">
        <v>220</v>
      </c>
      <c r="H29" s="18" t="s">
        <v>232</v>
      </c>
      <c r="I29" s="17" t="s">
        <v>149</v>
      </c>
      <c r="J29" s="17" t="s">
        <v>223</v>
      </c>
      <c r="K29" s="17" t="s">
        <v>30</v>
      </c>
      <c r="L29" s="17"/>
      <c r="M29" s="17"/>
      <c r="N29" s="17"/>
      <c r="O29" s="17"/>
      <c r="P29" s="17"/>
      <c r="Q29" s="17">
        <v>0.55000000000000004</v>
      </c>
      <c r="R29" s="17">
        <v>0.42</v>
      </c>
      <c r="S29" s="17">
        <v>0.73</v>
      </c>
    </row>
    <row r="30" spans="1:19" ht="12.75" x14ac:dyDescent="0.2">
      <c r="A30">
        <v>3</v>
      </c>
      <c r="B30" s="19" t="s">
        <v>40</v>
      </c>
      <c r="C30" s="19">
        <v>2023</v>
      </c>
      <c r="D30" s="19" t="s">
        <v>41</v>
      </c>
      <c r="E30" s="19" t="s">
        <v>228</v>
      </c>
      <c r="F30" s="19"/>
      <c r="G30" s="20" t="s">
        <v>220</v>
      </c>
      <c r="H30" s="21" t="s">
        <v>231</v>
      </c>
      <c r="I30" s="20" t="s">
        <v>149</v>
      </c>
      <c r="J30" s="20" t="s">
        <v>223</v>
      </c>
      <c r="K30" s="20" t="s">
        <v>30</v>
      </c>
      <c r="L30" s="20"/>
      <c r="M30" s="20"/>
      <c r="N30" s="20"/>
      <c r="O30" s="20"/>
      <c r="P30" s="20"/>
      <c r="Q30" s="20"/>
      <c r="R30" s="20"/>
      <c r="S30" s="20"/>
    </row>
    <row r="31" spans="1:19" ht="12.75" x14ac:dyDescent="0.2">
      <c r="A31">
        <v>3</v>
      </c>
      <c r="B31" s="16" t="s">
        <v>40</v>
      </c>
      <c r="C31" s="16">
        <v>2023</v>
      </c>
      <c r="D31" s="16" t="s">
        <v>41</v>
      </c>
      <c r="E31" s="16" t="s">
        <v>228</v>
      </c>
      <c r="F31" s="16"/>
      <c r="G31" s="17" t="s">
        <v>213</v>
      </c>
      <c r="H31" s="17" t="s">
        <v>56</v>
      </c>
      <c r="I31" s="17" t="s">
        <v>149</v>
      </c>
      <c r="J31" s="17" t="s">
        <v>223</v>
      </c>
      <c r="K31" s="17" t="s">
        <v>30</v>
      </c>
      <c r="L31" s="17"/>
      <c r="M31" s="17"/>
      <c r="N31" s="17"/>
      <c r="O31" s="17"/>
      <c r="P31" s="17"/>
      <c r="Q31" s="17">
        <v>0.61</v>
      </c>
      <c r="R31" s="17">
        <v>0.51</v>
      </c>
      <c r="S31" s="17">
        <v>0.73</v>
      </c>
    </row>
    <row r="32" spans="1:19" ht="30.75" customHeight="1" x14ac:dyDescent="0.2">
      <c r="A32">
        <v>3</v>
      </c>
      <c r="B32" s="16" t="s">
        <v>40</v>
      </c>
      <c r="C32" s="16">
        <v>2023</v>
      </c>
      <c r="D32" s="16" t="s">
        <v>41</v>
      </c>
      <c r="E32" s="16" t="s">
        <v>228</v>
      </c>
      <c r="F32" s="16"/>
      <c r="G32" s="18" t="s">
        <v>234</v>
      </c>
      <c r="H32" s="17" t="s">
        <v>56</v>
      </c>
      <c r="I32" s="17" t="s">
        <v>149</v>
      </c>
      <c r="J32" s="17" t="s">
        <v>223</v>
      </c>
      <c r="K32" s="17" t="s">
        <v>30</v>
      </c>
      <c r="L32" s="17"/>
      <c r="M32" s="17"/>
      <c r="N32" s="17"/>
      <c r="O32" s="17"/>
      <c r="P32" s="17"/>
      <c r="Q32" s="17">
        <v>1.21</v>
      </c>
      <c r="R32" s="17">
        <v>0.78</v>
      </c>
      <c r="S32" s="17">
        <v>1.88</v>
      </c>
    </row>
    <row r="33" spans="1:20" ht="30.75" customHeight="1" x14ac:dyDescent="0.2">
      <c r="A33">
        <v>4</v>
      </c>
      <c r="B33" s="16" t="s">
        <v>51</v>
      </c>
      <c r="C33" s="16">
        <v>2021</v>
      </c>
      <c r="D33" s="16" t="s">
        <v>33</v>
      </c>
      <c r="E33" s="16" t="s">
        <v>65</v>
      </c>
      <c r="F33" s="16"/>
      <c r="G33" s="17" t="s">
        <v>220</v>
      </c>
      <c r="H33" s="17" t="s">
        <v>56</v>
      </c>
      <c r="I33" s="17" t="s">
        <v>220</v>
      </c>
      <c r="J33" s="17" t="s">
        <v>223</v>
      </c>
      <c r="K33" s="17" t="s">
        <v>59</v>
      </c>
      <c r="L33" s="17">
        <v>1</v>
      </c>
      <c r="M33" s="17"/>
      <c r="N33" s="17"/>
      <c r="O33" s="17">
        <f>5429174+24895</f>
        <v>5454069</v>
      </c>
      <c r="P33" s="17">
        <f>24895</f>
        <v>24895</v>
      </c>
      <c r="Q33" s="17">
        <v>0.72</v>
      </c>
      <c r="R33" s="17">
        <v>0.56000000000000005</v>
      </c>
      <c r="S33" s="17">
        <v>0.93</v>
      </c>
    </row>
    <row r="34" spans="1:20" ht="12.75" x14ac:dyDescent="0.2">
      <c r="A34">
        <v>4</v>
      </c>
      <c r="B34" s="16" t="s">
        <v>51</v>
      </c>
      <c r="C34" s="16">
        <v>2021</v>
      </c>
      <c r="D34" s="16" t="s">
        <v>33</v>
      </c>
      <c r="E34" s="16" t="s">
        <v>65</v>
      </c>
      <c r="F34" s="16"/>
      <c r="G34" s="17" t="s">
        <v>220</v>
      </c>
      <c r="H34" s="17" t="s">
        <v>217</v>
      </c>
      <c r="I34" s="17" t="s">
        <v>220</v>
      </c>
      <c r="J34" s="17" t="s">
        <v>223</v>
      </c>
      <c r="K34" s="17" t="s">
        <v>59</v>
      </c>
      <c r="L34" s="17"/>
      <c r="M34" s="17"/>
      <c r="N34" s="17"/>
      <c r="O34" s="17"/>
      <c r="P34" s="17"/>
      <c r="Q34" s="17">
        <v>0.72</v>
      </c>
      <c r="R34" s="17">
        <v>0.3</v>
      </c>
      <c r="S34" s="17">
        <v>1.75</v>
      </c>
    </row>
    <row r="35" spans="1:20" ht="27.6" customHeight="1" x14ac:dyDescent="0.2">
      <c r="A35">
        <v>4</v>
      </c>
      <c r="B35" s="16" t="s">
        <v>51</v>
      </c>
      <c r="C35" s="16">
        <v>2021</v>
      </c>
      <c r="D35" s="16" t="s">
        <v>33</v>
      </c>
      <c r="E35" s="16" t="s">
        <v>65</v>
      </c>
      <c r="F35" s="16"/>
      <c r="G35" s="17" t="s">
        <v>220</v>
      </c>
      <c r="H35" s="17" t="s">
        <v>218</v>
      </c>
      <c r="I35" s="17" t="s">
        <v>220</v>
      </c>
      <c r="J35" s="17" t="s">
        <v>223</v>
      </c>
      <c r="K35" s="17" t="s">
        <v>59</v>
      </c>
      <c r="L35" s="17"/>
      <c r="M35" s="17"/>
      <c r="N35" s="17"/>
      <c r="O35" s="17"/>
      <c r="P35" s="17"/>
      <c r="Q35" s="17">
        <v>0.55000000000000004</v>
      </c>
      <c r="R35" s="17">
        <v>0.22</v>
      </c>
      <c r="S35" s="17">
        <v>1.4</v>
      </c>
    </row>
    <row r="36" spans="1:20" ht="27.6" customHeight="1" x14ac:dyDescent="0.2">
      <c r="A36">
        <v>4</v>
      </c>
      <c r="B36" s="16" t="s">
        <v>51</v>
      </c>
      <c r="C36" s="16">
        <v>2021</v>
      </c>
      <c r="D36" s="16" t="s">
        <v>33</v>
      </c>
      <c r="E36" s="16" t="s">
        <v>65</v>
      </c>
      <c r="F36" s="16"/>
      <c r="G36" s="17" t="s">
        <v>220</v>
      </c>
      <c r="H36" s="17" t="s">
        <v>229</v>
      </c>
      <c r="I36" s="17" t="s">
        <v>220</v>
      </c>
      <c r="J36" s="17" t="s">
        <v>223</v>
      </c>
      <c r="K36" s="17" t="s">
        <v>59</v>
      </c>
      <c r="L36" s="17"/>
      <c r="M36" s="17"/>
      <c r="N36" s="17"/>
      <c r="O36" s="17"/>
      <c r="P36" s="17"/>
      <c r="Q36" s="17">
        <v>0.63</v>
      </c>
      <c r="R36" s="17">
        <v>0.33</v>
      </c>
      <c r="S36" s="17">
        <v>1.2</v>
      </c>
    </row>
    <row r="37" spans="1:20" ht="21" customHeight="1" x14ac:dyDescent="0.2">
      <c r="A37">
        <v>4</v>
      </c>
      <c r="B37" s="16" t="s">
        <v>51</v>
      </c>
      <c r="C37" s="16">
        <v>2021</v>
      </c>
      <c r="D37" s="16" t="s">
        <v>33</v>
      </c>
      <c r="E37" s="16" t="s">
        <v>65</v>
      </c>
      <c r="F37" s="16"/>
      <c r="G37" s="17" t="s">
        <v>220</v>
      </c>
      <c r="H37" s="18" t="s">
        <v>231</v>
      </c>
      <c r="I37" s="17" t="s">
        <v>220</v>
      </c>
      <c r="J37" s="17" t="s">
        <v>223</v>
      </c>
      <c r="K37" s="17" t="s">
        <v>59</v>
      </c>
      <c r="L37" s="17"/>
      <c r="M37" s="17"/>
      <c r="N37" s="17"/>
      <c r="O37" s="17"/>
      <c r="P37" s="17"/>
      <c r="Q37" s="17">
        <v>0.7</v>
      </c>
      <c r="R37" s="17">
        <v>0.52</v>
      </c>
      <c r="S37" s="17">
        <v>0.94</v>
      </c>
      <c r="T37" t="s">
        <v>241</v>
      </c>
    </row>
    <row r="38" spans="1:20" ht="21" customHeight="1" x14ac:dyDescent="0.2">
      <c r="A38">
        <v>4</v>
      </c>
      <c r="B38" s="16" t="s">
        <v>51</v>
      </c>
      <c r="C38" s="16">
        <v>2015</v>
      </c>
      <c r="D38" s="16" t="s">
        <v>33</v>
      </c>
      <c r="E38" s="16" t="s">
        <v>65</v>
      </c>
      <c r="F38" s="16"/>
      <c r="G38" s="17" t="s">
        <v>220</v>
      </c>
      <c r="H38" s="17" t="s">
        <v>56</v>
      </c>
      <c r="I38" s="17" t="s">
        <v>220</v>
      </c>
      <c r="J38" s="17" t="s">
        <v>48</v>
      </c>
      <c r="K38" s="17" t="s">
        <v>59</v>
      </c>
      <c r="L38" s="17"/>
      <c r="M38" s="17">
        <v>1</v>
      </c>
      <c r="N38" s="17"/>
      <c r="O38" s="17"/>
      <c r="P38" s="17"/>
      <c r="Q38" s="17">
        <v>0.71</v>
      </c>
      <c r="R38" s="17">
        <v>0.56000000000000005</v>
      </c>
      <c r="S38" s="17">
        <v>0.81</v>
      </c>
    </row>
    <row r="39" spans="1:20" ht="21" customHeight="1" x14ac:dyDescent="0.2">
      <c r="A39">
        <v>4</v>
      </c>
      <c r="B39" s="16" t="s">
        <v>51</v>
      </c>
      <c r="C39" s="16">
        <v>2015</v>
      </c>
      <c r="D39" s="16" t="s">
        <v>33</v>
      </c>
      <c r="E39" s="16" t="s">
        <v>65</v>
      </c>
      <c r="F39" s="16"/>
      <c r="G39" s="17" t="s">
        <v>220</v>
      </c>
      <c r="H39" s="17" t="s">
        <v>56</v>
      </c>
      <c r="I39" s="17" t="s">
        <v>220</v>
      </c>
      <c r="J39" s="17" t="s">
        <v>50</v>
      </c>
      <c r="K39" s="17" t="s">
        <v>59</v>
      </c>
      <c r="L39" s="17"/>
      <c r="M39" s="17">
        <v>1</v>
      </c>
      <c r="N39" s="17"/>
      <c r="O39" s="17"/>
      <c r="P39" s="17"/>
      <c r="Q39" s="17">
        <v>0.35</v>
      </c>
      <c r="R39" s="17">
        <v>0.17</v>
      </c>
      <c r="S39" s="17">
        <v>0.73</v>
      </c>
    </row>
    <row r="40" spans="1:20" ht="12.75" x14ac:dyDescent="0.2">
      <c r="A40">
        <v>5</v>
      </c>
      <c r="B40" s="16" t="s">
        <v>91</v>
      </c>
      <c r="C40" s="16">
        <v>2014</v>
      </c>
      <c r="D40" s="16" t="s">
        <v>222</v>
      </c>
      <c r="E40" s="16" t="s">
        <v>228</v>
      </c>
      <c r="F40" s="16"/>
      <c r="G40" s="17" t="s">
        <v>220</v>
      </c>
      <c r="H40" s="17" t="s">
        <v>56</v>
      </c>
      <c r="I40" s="18" t="s">
        <v>245</v>
      </c>
      <c r="J40" s="17" t="s">
        <v>223</v>
      </c>
      <c r="K40" s="17" t="s">
        <v>30</v>
      </c>
      <c r="L40" s="17">
        <v>1</v>
      </c>
      <c r="M40" s="17">
        <v>1</v>
      </c>
      <c r="N40" s="17"/>
      <c r="O40" s="17">
        <f>194+388</f>
        <v>582</v>
      </c>
      <c r="P40" s="17">
        <f>4+1+6+16+3</f>
        <v>30</v>
      </c>
      <c r="Q40" s="17">
        <v>0.36</v>
      </c>
      <c r="R40" s="17">
        <v>0.13</v>
      </c>
      <c r="S40" s="17">
        <v>1.02</v>
      </c>
    </row>
    <row r="41" spans="1:20" ht="12.75" x14ac:dyDescent="0.2">
      <c r="A41">
        <v>5</v>
      </c>
      <c r="B41" s="16" t="s">
        <v>91</v>
      </c>
      <c r="C41" s="16">
        <v>2014</v>
      </c>
      <c r="D41" s="16" t="s">
        <v>222</v>
      </c>
      <c r="E41" s="16" t="s">
        <v>228</v>
      </c>
      <c r="F41" s="16"/>
      <c r="G41" s="17" t="s">
        <v>220</v>
      </c>
      <c r="H41" s="17" t="s">
        <v>56</v>
      </c>
      <c r="I41" s="18" t="s">
        <v>245</v>
      </c>
      <c r="J41" s="17" t="s">
        <v>50</v>
      </c>
      <c r="K41" s="17" t="s">
        <v>30</v>
      </c>
      <c r="L41" s="17"/>
      <c r="M41" s="17">
        <v>1</v>
      </c>
      <c r="N41" s="17"/>
      <c r="O41" s="17"/>
      <c r="P41" s="17"/>
      <c r="Q41" s="17">
        <v>0.15</v>
      </c>
      <c r="R41" s="17">
        <v>0.01</v>
      </c>
      <c r="S41" s="17">
        <v>2.63</v>
      </c>
    </row>
    <row r="42" spans="1:20" ht="34.5" customHeight="1" x14ac:dyDescent="0.2">
      <c r="A42">
        <v>6</v>
      </c>
      <c r="B42" s="16" t="s">
        <v>225</v>
      </c>
      <c r="C42" s="16">
        <v>2021</v>
      </c>
      <c r="D42" s="16" t="s">
        <v>110</v>
      </c>
      <c r="E42" s="16" t="s">
        <v>65</v>
      </c>
      <c r="F42" s="16"/>
      <c r="G42" s="17" t="s">
        <v>220</v>
      </c>
      <c r="H42" s="17" t="s">
        <v>56</v>
      </c>
      <c r="I42" s="17" t="s">
        <v>56</v>
      </c>
      <c r="J42" s="17" t="s">
        <v>223</v>
      </c>
      <c r="K42" s="17" t="s">
        <v>59</v>
      </c>
      <c r="L42" s="17">
        <v>1</v>
      </c>
      <c r="M42" s="17"/>
      <c r="N42" s="17"/>
      <c r="O42" s="17">
        <f>18961+23686</f>
        <v>42647</v>
      </c>
      <c r="P42" s="17">
        <f>18961</f>
        <v>18961</v>
      </c>
      <c r="Q42" s="17">
        <v>0.76</v>
      </c>
      <c r="R42" s="17">
        <v>0.39</v>
      </c>
      <c r="S42" s="17">
        <v>1.47</v>
      </c>
    </row>
    <row r="43" spans="1:20" ht="34.5" customHeight="1" x14ac:dyDescent="0.2">
      <c r="A43">
        <v>6</v>
      </c>
      <c r="B43" s="16" t="s">
        <v>225</v>
      </c>
      <c r="C43" s="16">
        <v>2021</v>
      </c>
      <c r="D43" s="16" t="s">
        <v>110</v>
      </c>
      <c r="E43" s="16" t="s">
        <v>65</v>
      </c>
      <c r="F43" s="16"/>
      <c r="G43" s="17" t="s">
        <v>220</v>
      </c>
      <c r="H43" s="17" t="s">
        <v>56</v>
      </c>
      <c r="I43" s="17" t="s">
        <v>56</v>
      </c>
      <c r="J43" s="17" t="s">
        <v>48</v>
      </c>
      <c r="K43" s="17" t="s">
        <v>59</v>
      </c>
      <c r="L43" s="17"/>
      <c r="M43" s="17">
        <v>1</v>
      </c>
      <c r="N43" s="17"/>
      <c r="O43" s="17"/>
      <c r="P43" s="17"/>
      <c r="Q43" s="17">
        <v>0.81</v>
      </c>
      <c r="R43" s="17">
        <v>0.41</v>
      </c>
      <c r="S43" s="17">
        <v>1.59</v>
      </c>
    </row>
    <row r="44" spans="1:20" ht="34.5" customHeight="1" x14ac:dyDescent="0.2">
      <c r="A44">
        <v>6</v>
      </c>
      <c r="B44" s="16" t="s">
        <v>225</v>
      </c>
      <c r="C44" s="16">
        <v>2021</v>
      </c>
      <c r="D44" s="16" t="s">
        <v>110</v>
      </c>
      <c r="E44" s="16" t="s">
        <v>65</v>
      </c>
      <c r="F44" s="16"/>
      <c r="G44" s="17" t="s">
        <v>220</v>
      </c>
      <c r="H44" s="17" t="s">
        <v>56</v>
      </c>
      <c r="I44" s="17" t="s">
        <v>56</v>
      </c>
      <c r="J44" s="17" t="s">
        <v>50</v>
      </c>
      <c r="K44" s="17" t="s">
        <v>59</v>
      </c>
      <c r="L44" s="17"/>
      <c r="M44" s="17">
        <v>1</v>
      </c>
      <c r="N44" s="17"/>
      <c r="O44" s="17"/>
      <c r="P44" s="17"/>
      <c r="Q44" s="17">
        <v>0.52</v>
      </c>
      <c r="R44" s="17">
        <v>7.0000000000000007E-2</v>
      </c>
      <c r="S44" s="17">
        <v>3.81</v>
      </c>
    </row>
    <row r="45" spans="1:20" ht="34.5" customHeight="1" x14ac:dyDescent="0.2">
      <c r="A45">
        <v>7</v>
      </c>
      <c r="B45" s="16" t="s">
        <v>63</v>
      </c>
      <c r="C45" s="16">
        <v>2023</v>
      </c>
      <c r="D45" s="16" t="s">
        <v>75</v>
      </c>
      <c r="E45" s="16" t="s">
        <v>65</v>
      </c>
      <c r="F45" s="16"/>
      <c r="G45" s="17" t="s">
        <v>220</v>
      </c>
      <c r="H45" s="17" t="s">
        <v>56</v>
      </c>
      <c r="I45" s="23" t="s">
        <v>212</v>
      </c>
      <c r="J45" s="17" t="s">
        <v>50</v>
      </c>
      <c r="K45" s="17" t="s">
        <v>59</v>
      </c>
      <c r="L45" s="17"/>
      <c r="M45" s="17">
        <v>1</v>
      </c>
      <c r="N45" s="17"/>
      <c r="O45" s="17">
        <f>98637+32879</f>
        <v>131516</v>
      </c>
      <c r="P45" s="17">
        <v>32879</v>
      </c>
      <c r="Q45" s="17">
        <v>0.55000000000000004</v>
      </c>
      <c r="R45" s="17">
        <v>0.28999999999999998</v>
      </c>
      <c r="S45" s="17">
        <v>1.05</v>
      </c>
    </row>
    <row r="46" spans="1:20" ht="34.5" customHeight="1" x14ac:dyDescent="0.2">
      <c r="A46">
        <v>7</v>
      </c>
      <c r="B46" s="16" t="s">
        <v>63</v>
      </c>
      <c r="C46" s="16">
        <v>2023</v>
      </c>
      <c r="D46" s="16" t="s">
        <v>75</v>
      </c>
      <c r="E46" s="16" t="s">
        <v>65</v>
      </c>
      <c r="F46" s="16"/>
      <c r="G46" s="17" t="s">
        <v>220</v>
      </c>
      <c r="H46" s="17" t="s">
        <v>56</v>
      </c>
      <c r="I46" s="23" t="s">
        <v>212</v>
      </c>
      <c r="J46" s="17" t="s">
        <v>223</v>
      </c>
      <c r="K46" s="17" t="s">
        <v>59</v>
      </c>
      <c r="L46" s="17">
        <v>1</v>
      </c>
      <c r="M46" s="17"/>
      <c r="N46" s="17"/>
      <c r="O46" s="17"/>
      <c r="P46" s="17"/>
      <c r="Q46" s="17">
        <v>0.82</v>
      </c>
      <c r="R46" s="17">
        <v>0.55000000000000004</v>
      </c>
      <c r="S46" s="17">
        <v>1.21</v>
      </c>
    </row>
    <row r="47" spans="1:20" ht="34.5" customHeight="1" x14ac:dyDescent="0.2">
      <c r="A47">
        <v>8</v>
      </c>
      <c r="B47" s="16" t="s">
        <v>230</v>
      </c>
      <c r="C47" s="16">
        <v>2024</v>
      </c>
      <c r="D47" s="16" t="s">
        <v>83</v>
      </c>
      <c r="E47" s="16" t="s">
        <v>228</v>
      </c>
      <c r="F47" s="16"/>
      <c r="G47" s="17" t="s">
        <v>220</v>
      </c>
      <c r="H47" s="17" t="s">
        <v>56</v>
      </c>
      <c r="I47" s="17" t="s">
        <v>56</v>
      </c>
      <c r="J47" s="17" t="s">
        <v>223</v>
      </c>
      <c r="K47" s="17" t="s">
        <v>59</v>
      </c>
      <c r="L47" s="17">
        <v>1</v>
      </c>
      <c r="M47" s="17"/>
      <c r="N47" s="17"/>
      <c r="O47" s="17">
        <f>316882+3168820</f>
        <v>3485702</v>
      </c>
      <c r="P47" s="17">
        <v>316882</v>
      </c>
      <c r="Q47" s="17">
        <v>0.7</v>
      </c>
      <c r="R47" s="17">
        <v>0.61</v>
      </c>
      <c r="S47" s="17">
        <v>0.8</v>
      </c>
    </row>
    <row r="48" spans="1:20" ht="30.6" customHeight="1" x14ac:dyDescent="0.2">
      <c r="A48">
        <v>9</v>
      </c>
      <c r="B48" s="17" t="s">
        <v>227</v>
      </c>
      <c r="C48" s="17">
        <v>2026</v>
      </c>
      <c r="D48" s="17" t="s">
        <v>119</v>
      </c>
      <c r="E48" s="16" t="s">
        <v>228</v>
      </c>
      <c r="F48" s="16"/>
      <c r="G48" s="17" t="s">
        <v>220</v>
      </c>
      <c r="H48" s="17" t="s">
        <v>56</v>
      </c>
      <c r="I48" s="17" t="s">
        <v>56</v>
      </c>
      <c r="J48" s="17" t="s">
        <v>223</v>
      </c>
      <c r="K48" s="17" t="s">
        <v>30</v>
      </c>
      <c r="L48" s="17">
        <v>1</v>
      </c>
      <c r="M48" s="17">
        <v>1</v>
      </c>
      <c r="N48" s="17"/>
      <c r="O48" s="17">
        <f>1245+12269+30+472</f>
        <v>14016</v>
      </c>
      <c r="P48" s="17">
        <f>30+472</f>
        <v>502</v>
      </c>
      <c r="Q48" s="17">
        <v>0.58499999999999996</v>
      </c>
      <c r="R48" s="17">
        <v>0.4</v>
      </c>
      <c r="S48" s="17">
        <v>0.85599999999999998</v>
      </c>
    </row>
    <row r="49" spans="1:19" ht="24" customHeight="1" x14ac:dyDescent="0.2">
      <c r="A49">
        <v>9</v>
      </c>
      <c r="B49" s="17" t="s">
        <v>227</v>
      </c>
      <c r="C49" s="17">
        <v>2026</v>
      </c>
      <c r="D49" s="17" t="s">
        <v>119</v>
      </c>
      <c r="E49" s="16" t="s">
        <v>228</v>
      </c>
      <c r="F49" s="16"/>
      <c r="G49" s="17" t="s">
        <v>220</v>
      </c>
      <c r="H49" s="17" t="s">
        <v>56</v>
      </c>
      <c r="I49" s="17" t="s">
        <v>56</v>
      </c>
      <c r="J49" s="17" t="s">
        <v>48</v>
      </c>
      <c r="K49" s="17" t="s">
        <v>30</v>
      </c>
      <c r="L49" s="17"/>
      <c r="M49" s="17">
        <v>1</v>
      </c>
      <c r="N49" s="17"/>
      <c r="O49" s="17"/>
      <c r="P49" s="17"/>
      <c r="Q49" s="17">
        <v>0.85099999999999998</v>
      </c>
      <c r="R49" s="17">
        <v>0.438</v>
      </c>
      <c r="S49" s="17">
        <v>1.653</v>
      </c>
    </row>
    <row r="50" spans="1:19" ht="31.5" customHeight="1" x14ac:dyDescent="0.2">
      <c r="A50">
        <v>9</v>
      </c>
      <c r="B50" s="17" t="s">
        <v>227</v>
      </c>
      <c r="C50" s="17">
        <v>2026</v>
      </c>
      <c r="D50" s="17" t="s">
        <v>119</v>
      </c>
      <c r="E50" s="16" t="s">
        <v>228</v>
      </c>
      <c r="F50" s="16"/>
      <c r="G50" s="17" t="s">
        <v>220</v>
      </c>
      <c r="H50" s="17" t="s">
        <v>56</v>
      </c>
      <c r="I50" s="17" t="s">
        <v>56</v>
      </c>
      <c r="J50" s="17" t="s">
        <v>50</v>
      </c>
      <c r="K50" s="17" t="s">
        <v>30</v>
      </c>
      <c r="L50" s="17"/>
      <c r="M50" s="17">
        <v>1</v>
      </c>
      <c r="N50" s="17"/>
      <c r="O50" s="17"/>
      <c r="P50" s="17"/>
      <c r="Q50" s="17">
        <v>0.157</v>
      </c>
      <c r="R50" s="17">
        <v>2.1999999999999999E-2</v>
      </c>
      <c r="S50" s="17">
        <v>1.1419999999999999</v>
      </c>
    </row>
    <row r="51" spans="1:19" ht="19.5" customHeight="1" x14ac:dyDescent="0.2">
      <c r="A51">
        <v>9</v>
      </c>
      <c r="B51" t="s">
        <v>227</v>
      </c>
      <c r="C51">
        <v>2026</v>
      </c>
      <c r="D51" t="s">
        <v>119</v>
      </c>
      <c r="E51" s="2" t="s">
        <v>228</v>
      </c>
      <c r="F51" s="2"/>
      <c r="G51" t="s">
        <v>220</v>
      </c>
      <c r="H51" s="22" t="s">
        <v>56</v>
      </c>
      <c r="I51" t="s">
        <v>237</v>
      </c>
      <c r="J51" t="s">
        <v>50</v>
      </c>
      <c r="K51" t="s">
        <v>30</v>
      </c>
    </row>
    <row r="52" spans="1:19" ht="19.5" customHeight="1" x14ac:dyDescent="0.2">
      <c r="A52">
        <v>9</v>
      </c>
      <c r="B52" s="17" t="s">
        <v>227</v>
      </c>
      <c r="C52" s="17">
        <v>2026</v>
      </c>
      <c r="D52" s="17" t="s">
        <v>119</v>
      </c>
      <c r="E52" s="16" t="s">
        <v>228</v>
      </c>
      <c r="F52" s="16"/>
      <c r="G52" s="17" t="s">
        <v>220</v>
      </c>
      <c r="H52" s="18" t="s">
        <v>56</v>
      </c>
      <c r="I52" s="17" t="s">
        <v>237</v>
      </c>
      <c r="J52" s="17" t="s">
        <v>48</v>
      </c>
      <c r="K52" s="17" t="s">
        <v>30</v>
      </c>
      <c r="L52" s="17"/>
      <c r="M52" s="17"/>
      <c r="N52" s="17"/>
      <c r="O52" s="17"/>
      <c r="P52" s="17"/>
      <c r="Q52" s="17">
        <v>0.63100000000000001</v>
      </c>
      <c r="R52" s="17">
        <v>7.4999999999999997E-2</v>
      </c>
      <c r="S52" s="17">
        <v>1.659</v>
      </c>
    </row>
    <row r="53" spans="1:19" ht="19.5" customHeight="1" x14ac:dyDescent="0.2">
      <c r="A53">
        <v>9</v>
      </c>
      <c r="B53" s="17" t="s">
        <v>227</v>
      </c>
      <c r="C53" s="17">
        <v>2026</v>
      </c>
      <c r="D53" s="17" t="s">
        <v>119</v>
      </c>
      <c r="E53" s="16" t="s">
        <v>228</v>
      </c>
      <c r="F53" s="16"/>
      <c r="G53" s="17" t="s">
        <v>220</v>
      </c>
      <c r="H53" s="18" t="s">
        <v>56</v>
      </c>
      <c r="I53" s="17" t="s">
        <v>237</v>
      </c>
      <c r="J53" s="17" t="s">
        <v>223</v>
      </c>
      <c r="K53" s="17" t="s">
        <v>30</v>
      </c>
      <c r="L53" s="17"/>
      <c r="M53" s="17"/>
      <c r="N53" s="17">
        <v>1</v>
      </c>
      <c r="O53" s="17"/>
      <c r="P53" s="17"/>
      <c r="Q53" s="17">
        <v>0.219</v>
      </c>
      <c r="R53" s="17">
        <v>2.9000000000000001E-2</v>
      </c>
      <c r="S53" s="17">
        <v>1.659</v>
      </c>
    </row>
    <row r="54" spans="1:19" ht="19.5" customHeight="1" x14ac:dyDescent="0.2">
      <c r="A54">
        <v>9</v>
      </c>
      <c r="B54" s="17" t="s">
        <v>227</v>
      </c>
      <c r="C54" s="17">
        <v>2026</v>
      </c>
      <c r="D54" s="17" t="s">
        <v>119</v>
      </c>
      <c r="E54" s="16" t="s">
        <v>228</v>
      </c>
      <c r="F54" s="16"/>
      <c r="G54" s="17" t="s">
        <v>220</v>
      </c>
      <c r="H54" s="18" t="s">
        <v>56</v>
      </c>
      <c r="I54" s="17" t="s">
        <v>80</v>
      </c>
      <c r="J54" s="17" t="s">
        <v>50</v>
      </c>
      <c r="K54" s="17" t="s">
        <v>30</v>
      </c>
      <c r="L54" s="17"/>
      <c r="M54" s="17"/>
      <c r="N54" s="17"/>
      <c r="O54" s="17"/>
      <c r="P54" s="17"/>
      <c r="Q54" s="17">
        <v>0.23699999999999999</v>
      </c>
      <c r="R54" s="17">
        <v>3.2000000000000001E-2</v>
      </c>
      <c r="S54" s="17">
        <v>1.7430000000000001</v>
      </c>
    </row>
    <row r="55" spans="1:19" ht="19.5" customHeight="1" x14ac:dyDescent="0.2">
      <c r="A55">
        <v>9</v>
      </c>
      <c r="B55" s="17" t="s">
        <v>227</v>
      </c>
      <c r="C55" s="17">
        <v>2026</v>
      </c>
      <c r="D55" s="17" t="s">
        <v>119</v>
      </c>
      <c r="E55" s="16" t="s">
        <v>228</v>
      </c>
      <c r="F55" s="16"/>
      <c r="G55" s="17" t="s">
        <v>220</v>
      </c>
      <c r="H55" s="18" t="s">
        <v>56</v>
      </c>
      <c r="I55" s="17" t="s">
        <v>80</v>
      </c>
      <c r="J55" s="17" t="s">
        <v>48</v>
      </c>
      <c r="K55" s="17" t="s">
        <v>30</v>
      </c>
      <c r="L55" s="17"/>
      <c r="M55" s="17"/>
      <c r="N55" s="17"/>
      <c r="O55" s="17"/>
      <c r="P55" s="17"/>
      <c r="Q55" s="17">
        <v>0.84499999999999997</v>
      </c>
      <c r="R55" s="17">
        <v>0.36</v>
      </c>
      <c r="S55" s="17">
        <v>1.9850000000000001</v>
      </c>
    </row>
    <row r="56" spans="1:19" ht="19.5" customHeight="1" x14ac:dyDescent="0.2">
      <c r="A56">
        <v>9</v>
      </c>
      <c r="B56" s="17" t="s">
        <v>227</v>
      </c>
      <c r="C56" s="17">
        <v>2026</v>
      </c>
      <c r="D56" s="17" t="s">
        <v>119</v>
      </c>
      <c r="E56" s="16" t="s">
        <v>228</v>
      </c>
      <c r="F56" s="16"/>
      <c r="G56" s="17" t="s">
        <v>220</v>
      </c>
      <c r="H56" s="18" t="s">
        <v>56</v>
      </c>
      <c r="I56" s="17" t="s">
        <v>80</v>
      </c>
      <c r="J56" s="17" t="s">
        <v>223</v>
      </c>
      <c r="K56" s="17" t="s">
        <v>30</v>
      </c>
      <c r="L56" s="17"/>
      <c r="M56" s="17"/>
      <c r="N56" s="17">
        <v>1</v>
      </c>
      <c r="O56" s="17"/>
      <c r="P56" s="17"/>
      <c r="Q56" s="17">
        <v>0.63400000000000001</v>
      </c>
      <c r="R56" s="17">
        <v>0.40100000000000002</v>
      </c>
      <c r="S56" s="17">
        <v>1.0009999999999999</v>
      </c>
    </row>
    <row r="57" spans="1:19" ht="19.5" customHeight="1" x14ac:dyDescent="0.2">
      <c r="A57">
        <v>9</v>
      </c>
      <c r="B57" t="s">
        <v>227</v>
      </c>
      <c r="C57">
        <v>2026</v>
      </c>
      <c r="D57" t="s">
        <v>119</v>
      </c>
      <c r="E57" s="2" t="s">
        <v>228</v>
      </c>
      <c r="F57" s="2"/>
      <c r="G57" t="s">
        <v>220</v>
      </c>
      <c r="H57" s="22" t="s">
        <v>56</v>
      </c>
      <c r="I57" t="s">
        <v>242</v>
      </c>
      <c r="J57" t="s">
        <v>50</v>
      </c>
      <c r="K57" t="s">
        <v>30</v>
      </c>
    </row>
    <row r="58" spans="1:19" ht="19.5" customHeight="1" x14ac:dyDescent="0.2">
      <c r="A58">
        <v>9</v>
      </c>
      <c r="B58" s="17" t="s">
        <v>227</v>
      </c>
      <c r="C58" s="17">
        <v>2026</v>
      </c>
      <c r="D58" s="17" t="s">
        <v>119</v>
      </c>
      <c r="E58" s="16" t="s">
        <v>228</v>
      </c>
      <c r="F58" s="16"/>
      <c r="G58" s="17" t="s">
        <v>220</v>
      </c>
      <c r="H58" s="18" t="s">
        <v>56</v>
      </c>
      <c r="I58" s="17" t="s">
        <v>242</v>
      </c>
      <c r="J58" s="17" t="s">
        <v>48</v>
      </c>
      <c r="K58" s="17" t="s">
        <v>30</v>
      </c>
      <c r="L58" s="17"/>
      <c r="M58" s="17"/>
      <c r="N58" s="17"/>
      <c r="O58" s="17"/>
      <c r="P58" s="17"/>
      <c r="Q58" s="17">
        <v>1.7869999999999999</v>
      </c>
      <c r="R58" s="17">
        <v>0.19</v>
      </c>
      <c r="S58" s="17">
        <v>16.763999999999999</v>
      </c>
    </row>
    <row r="59" spans="1:19" ht="19.5" customHeight="1" x14ac:dyDescent="0.2">
      <c r="A59">
        <v>9</v>
      </c>
      <c r="B59" s="17" t="s">
        <v>227</v>
      </c>
      <c r="C59" s="17">
        <v>2026</v>
      </c>
      <c r="D59" s="17" t="s">
        <v>119</v>
      </c>
      <c r="E59" s="16" t="s">
        <v>228</v>
      </c>
      <c r="F59" s="16"/>
      <c r="G59" s="17" t="s">
        <v>220</v>
      </c>
      <c r="H59" s="18" t="s">
        <v>56</v>
      </c>
      <c r="I59" s="17" t="s">
        <v>242</v>
      </c>
      <c r="J59" s="17" t="s">
        <v>223</v>
      </c>
      <c r="K59" s="17" t="s">
        <v>30</v>
      </c>
      <c r="L59" s="17"/>
      <c r="M59" s="17"/>
      <c r="N59" s="17">
        <v>1</v>
      </c>
      <c r="O59" s="17"/>
      <c r="P59" s="17"/>
      <c r="Q59" s="17">
        <v>0.55100000000000005</v>
      </c>
      <c r="R59" s="17">
        <v>6.9000000000000006E-2</v>
      </c>
      <c r="S59" s="17">
        <v>4.3730000000000002</v>
      </c>
    </row>
    <row r="60" spans="1:19" ht="15.6" customHeight="1" x14ac:dyDescent="0.2">
      <c r="A60">
        <v>9</v>
      </c>
      <c r="B60" t="s">
        <v>227</v>
      </c>
      <c r="C60">
        <v>2026</v>
      </c>
      <c r="D60" t="s">
        <v>119</v>
      </c>
      <c r="E60" s="2" t="s">
        <v>228</v>
      </c>
      <c r="F60" s="2"/>
      <c r="G60" t="s">
        <v>220</v>
      </c>
      <c r="H60" s="22" t="s">
        <v>56</v>
      </c>
      <c r="I60" t="s">
        <v>243</v>
      </c>
      <c r="J60" t="s">
        <v>50</v>
      </c>
      <c r="K60" t="s">
        <v>30</v>
      </c>
    </row>
    <row r="61" spans="1:19" ht="15.6" customHeight="1" x14ac:dyDescent="0.2">
      <c r="A61">
        <v>9</v>
      </c>
      <c r="B61" t="s">
        <v>227</v>
      </c>
      <c r="C61">
        <v>2026</v>
      </c>
      <c r="D61" t="s">
        <v>119</v>
      </c>
      <c r="E61" s="2" t="s">
        <v>228</v>
      </c>
      <c r="F61" s="2"/>
      <c r="G61" t="s">
        <v>220</v>
      </c>
      <c r="H61" s="22" t="s">
        <v>56</v>
      </c>
      <c r="I61" t="s">
        <v>243</v>
      </c>
      <c r="J61" t="s">
        <v>48</v>
      </c>
      <c r="K61" t="s">
        <v>30</v>
      </c>
    </row>
    <row r="62" spans="1:19" ht="14.1" customHeight="1" x14ac:dyDescent="0.2">
      <c r="A62">
        <v>9</v>
      </c>
      <c r="B62" s="17" t="s">
        <v>227</v>
      </c>
      <c r="C62" s="17">
        <v>2026</v>
      </c>
      <c r="D62" s="17" t="s">
        <v>119</v>
      </c>
      <c r="E62" s="16" t="s">
        <v>228</v>
      </c>
      <c r="F62" s="16"/>
      <c r="G62" s="17" t="s">
        <v>220</v>
      </c>
      <c r="H62" s="18" t="s">
        <v>56</v>
      </c>
      <c r="I62" s="17" t="s">
        <v>243</v>
      </c>
      <c r="J62" s="17" t="s">
        <v>223</v>
      </c>
      <c r="K62" s="17" t="s">
        <v>30</v>
      </c>
      <c r="L62" s="17"/>
      <c r="M62" s="17"/>
      <c r="N62" s="17">
        <v>1</v>
      </c>
      <c r="O62" s="17"/>
      <c r="P62" s="17"/>
      <c r="Q62" s="17">
        <v>2.2480000000000002</v>
      </c>
      <c r="R62" s="17">
        <v>0.44600000000000001</v>
      </c>
      <c r="S62" s="17">
        <v>11.316000000000001</v>
      </c>
    </row>
    <row r="63" spans="1:19" ht="14.1" customHeight="1" x14ac:dyDescent="0.2">
      <c r="A63">
        <v>9</v>
      </c>
      <c r="B63" s="17" t="s">
        <v>227</v>
      </c>
      <c r="C63" s="17">
        <v>2026</v>
      </c>
      <c r="D63" s="17" t="s">
        <v>119</v>
      </c>
      <c r="E63" s="16" t="s">
        <v>228</v>
      </c>
      <c r="F63" s="16"/>
      <c r="G63" s="17" t="s">
        <v>220</v>
      </c>
      <c r="H63" s="18" t="s">
        <v>56</v>
      </c>
      <c r="I63" s="17" t="s">
        <v>37</v>
      </c>
      <c r="J63" s="17" t="s">
        <v>48</v>
      </c>
      <c r="K63" s="17" t="s">
        <v>30</v>
      </c>
      <c r="L63" s="17"/>
      <c r="M63" s="17"/>
      <c r="N63" s="17"/>
      <c r="O63" s="17"/>
      <c r="P63" s="17"/>
      <c r="Q63" s="17">
        <v>0.66900000000000004</v>
      </c>
      <c r="R63" s="17">
        <v>0.152</v>
      </c>
      <c r="S63" s="17">
        <v>2.9359999999999999</v>
      </c>
    </row>
    <row r="64" spans="1:19" ht="14.1" customHeight="1" x14ac:dyDescent="0.2">
      <c r="A64">
        <v>9</v>
      </c>
      <c r="B64" s="17" t="s">
        <v>227</v>
      </c>
      <c r="C64" s="17">
        <v>2026</v>
      </c>
      <c r="D64" s="17" t="s">
        <v>119</v>
      </c>
      <c r="E64" s="16" t="s">
        <v>228</v>
      </c>
      <c r="F64" s="16"/>
      <c r="G64" s="17" t="s">
        <v>220</v>
      </c>
      <c r="H64" s="18" t="s">
        <v>56</v>
      </c>
      <c r="I64" s="17" t="s">
        <v>37</v>
      </c>
      <c r="J64" s="17" t="s">
        <v>223</v>
      </c>
      <c r="K64" s="17" t="s">
        <v>30</v>
      </c>
      <c r="L64" s="17"/>
      <c r="M64" s="17"/>
      <c r="N64" s="17"/>
      <c r="O64" s="17"/>
      <c r="P64" s="17"/>
      <c r="Q64" s="17">
        <v>0.51100000000000001</v>
      </c>
      <c r="R64" s="17">
        <v>0.18099999999999999</v>
      </c>
      <c r="S64" s="17">
        <v>1.4390000000000001</v>
      </c>
    </row>
    <row r="65" spans="1:19" ht="14.1" customHeight="1" x14ac:dyDescent="0.2">
      <c r="A65">
        <v>9</v>
      </c>
      <c r="B65" s="17" t="s">
        <v>227</v>
      </c>
      <c r="C65" s="17">
        <v>2026</v>
      </c>
      <c r="D65" s="17" t="s">
        <v>119</v>
      </c>
      <c r="E65" s="16" t="s">
        <v>228</v>
      </c>
      <c r="F65" s="16"/>
      <c r="G65" s="17" t="s">
        <v>220</v>
      </c>
      <c r="H65" s="18" t="s">
        <v>56</v>
      </c>
      <c r="I65" s="17" t="s">
        <v>38</v>
      </c>
      <c r="J65" s="17" t="s">
        <v>50</v>
      </c>
      <c r="K65" s="17" t="s">
        <v>30</v>
      </c>
      <c r="L65" s="17"/>
      <c r="M65" s="17"/>
      <c r="N65" s="17"/>
      <c r="O65" s="17"/>
      <c r="P65" s="17"/>
      <c r="Q65" s="17">
        <v>0.21099999999999999</v>
      </c>
      <c r="R65" s="17">
        <v>2.9000000000000001E-2</v>
      </c>
      <c r="S65" s="17">
        <v>1.5409999999999999</v>
      </c>
    </row>
    <row r="66" spans="1:19" ht="14.1" customHeight="1" x14ac:dyDescent="0.2">
      <c r="A66">
        <v>9</v>
      </c>
      <c r="B66" s="17" t="s">
        <v>227</v>
      </c>
      <c r="C66" s="17">
        <v>2026</v>
      </c>
      <c r="D66" s="17" t="s">
        <v>119</v>
      </c>
      <c r="E66" s="16" t="s">
        <v>228</v>
      </c>
      <c r="F66" s="16"/>
      <c r="G66" s="17" t="s">
        <v>220</v>
      </c>
      <c r="H66" s="18" t="s">
        <v>56</v>
      </c>
      <c r="I66" s="17" t="s">
        <v>38</v>
      </c>
      <c r="J66" s="17" t="s">
        <v>48</v>
      </c>
      <c r="K66" s="17" t="s">
        <v>30</v>
      </c>
      <c r="L66" s="17"/>
      <c r="M66" s="17"/>
      <c r="N66" s="17"/>
      <c r="O66" s="17"/>
      <c r="P66" s="17"/>
      <c r="Q66" s="17">
        <v>0.93300000000000005</v>
      </c>
      <c r="R66" s="17">
        <v>0.44400000000000001</v>
      </c>
      <c r="S66" s="17">
        <v>1.9610000000000001</v>
      </c>
    </row>
    <row r="67" spans="1:19" ht="14.1" customHeight="1" x14ac:dyDescent="0.2">
      <c r="A67">
        <v>9</v>
      </c>
      <c r="B67" s="17" t="s">
        <v>227</v>
      </c>
      <c r="C67" s="17">
        <v>2026</v>
      </c>
      <c r="D67" s="17" t="s">
        <v>119</v>
      </c>
      <c r="E67" s="16" t="s">
        <v>228</v>
      </c>
      <c r="F67" s="16"/>
      <c r="G67" s="17" t="s">
        <v>220</v>
      </c>
      <c r="H67" s="18" t="s">
        <v>56</v>
      </c>
      <c r="I67" s="17" t="s">
        <v>38</v>
      </c>
      <c r="J67" s="17" t="s">
        <v>223</v>
      </c>
      <c r="K67" s="17" t="s">
        <v>30</v>
      </c>
      <c r="L67" s="17"/>
      <c r="M67" s="17"/>
      <c r="N67" s="17"/>
      <c r="O67" s="17"/>
      <c r="P67" s="17"/>
      <c r="Q67" s="17">
        <v>0.60199999999999998</v>
      </c>
      <c r="R67" s="17">
        <v>0.39900000000000002</v>
      </c>
      <c r="S67" s="17">
        <v>0.90700000000000003</v>
      </c>
    </row>
    <row r="68" spans="1:19" ht="18" customHeight="1" x14ac:dyDescent="0.2">
      <c r="A68" s="17">
        <v>9</v>
      </c>
      <c r="B68" s="17" t="s">
        <v>227</v>
      </c>
      <c r="C68" s="17">
        <v>2026</v>
      </c>
      <c r="D68" s="17" t="s">
        <v>119</v>
      </c>
      <c r="E68" s="16" t="s">
        <v>228</v>
      </c>
      <c r="F68" s="16"/>
      <c r="G68" s="17" t="s">
        <v>213</v>
      </c>
      <c r="H68" s="17" t="s">
        <v>56</v>
      </c>
      <c r="I68" s="17" t="s">
        <v>56</v>
      </c>
      <c r="J68" s="17" t="s">
        <v>223</v>
      </c>
      <c r="K68" s="17" t="s">
        <v>30</v>
      </c>
      <c r="L68" s="17"/>
      <c r="M68" s="17"/>
      <c r="N68" s="17"/>
      <c r="O68" s="17"/>
      <c r="P68" s="17"/>
      <c r="Q68" s="17">
        <v>0.57799999999999996</v>
      </c>
      <c r="R68" s="17">
        <v>0.39100000000000001</v>
      </c>
      <c r="S68" s="17">
        <v>0.85599999999999998</v>
      </c>
    </row>
    <row r="69" spans="1:19" ht="17.100000000000001" customHeight="1" x14ac:dyDescent="0.2">
      <c r="A69" s="17">
        <v>9</v>
      </c>
      <c r="B69" s="17" t="s">
        <v>227</v>
      </c>
      <c r="C69" s="17">
        <v>2026</v>
      </c>
      <c r="D69" s="17" t="s">
        <v>119</v>
      </c>
      <c r="E69" s="16" t="s">
        <v>228</v>
      </c>
      <c r="F69" s="16"/>
      <c r="G69" s="17" t="s">
        <v>220</v>
      </c>
      <c r="H69" s="18" t="s">
        <v>232</v>
      </c>
      <c r="I69" s="17" t="s">
        <v>56</v>
      </c>
      <c r="J69" s="17" t="s">
        <v>223</v>
      </c>
      <c r="K69" s="17" t="s">
        <v>30</v>
      </c>
      <c r="L69" s="17"/>
      <c r="M69" s="17"/>
      <c r="N69" s="17"/>
      <c r="O69" s="17"/>
      <c r="P69" s="17"/>
      <c r="Q69" s="17">
        <v>0.57999999999999996</v>
      </c>
      <c r="R69" s="17">
        <v>0.38</v>
      </c>
      <c r="S69" s="17">
        <v>0.88500000000000001</v>
      </c>
    </row>
    <row r="70" spans="1:19" ht="15.75" customHeight="1" x14ac:dyDescent="0.2">
      <c r="A70" s="17">
        <v>9</v>
      </c>
      <c r="B70" s="17" t="s">
        <v>227</v>
      </c>
      <c r="C70" s="17">
        <v>2026</v>
      </c>
      <c r="D70" s="17" t="s">
        <v>119</v>
      </c>
      <c r="E70" s="16" t="s">
        <v>228</v>
      </c>
      <c r="F70" s="16"/>
      <c r="G70" s="17" t="s">
        <v>220</v>
      </c>
      <c r="H70" s="18" t="s">
        <v>231</v>
      </c>
      <c r="I70" s="17" t="s">
        <v>56</v>
      </c>
      <c r="J70" s="17" t="s">
        <v>223</v>
      </c>
      <c r="K70" s="17" t="s">
        <v>30</v>
      </c>
      <c r="L70" s="17"/>
      <c r="M70" s="17"/>
      <c r="N70" s="17"/>
      <c r="O70" s="17"/>
      <c r="P70" s="17"/>
      <c r="Q70" s="17">
        <v>0.53500000000000003</v>
      </c>
      <c r="R70" s="17">
        <v>0.35399999999999998</v>
      </c>
      <c r="S70" s="17">
        <v>0.80900000000000005</v>
      </c>
    </row>
  </sheetData>
  <autoFilter ref="B1:S70" xr:uid="{00000000-0009-0000-0000-000000000000}"/>
  <phoneticPr fontId="6" type="noConversion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0"/>
  <sheetViews>
    <sheetView workbookViewId="0">
      <pane ySplit="1" topLeftCell="A2" activePane="bottomLeft" state="frozen"/>
      <selection pane="bottomLeft" activeCell="S8" sqref="S8"/>
    </sheetView>
  </sheetViews>
  <sheetFormatPr defaultColWidth="12.5703125" defaultRowHeight="15.75" customHeight="1" x14ac:dyDescent="0.2"/>
  <cols>
    <col min="1" max="10" width="12.5703125" style="2"/>
    <col min="13" max="15" width="12.5703125" style="2"/>
  </cols>
  <sheetData>
    <row r="1" spans="1:33" ht="15.75" customHeight="1" x14ac:dyDescent="0.2">
      <c r="A1" s="1" t="s">
        <v>120</v>
      </c>
      <c r="B1" s="1" t="s">
        <v>121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22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">
      <c r="A2" s="2" t="s">
        <v>51</v>
      </c>
      <c r="B2" s="2">
        <v>2021</v>
      </c>
      <c r="C2" s="2" t="s">
        <v>33</v>
      </c>
      <c r="D2" s="2" t="s">
        <v>52</v>
      </c>
      <c r="E2" s="2" t="s">
        <v>26</v>
      </c>
      <c r="F2" s="2" t="s">
        <v>53</v>
      </c>
      <c r="G2" s="2" t="s">
        <v>35</v>
      </c>
      <c r="H2" s="2" t="s">
        <v>54</v>
      </c>
      <c r="I2" s="2" t="s">
        <v>55</v>
      </c>
      <c r="J2" s="2" t="s">
        <v>56</v>
      </c>
      <c r="K2" s="4">
        <v>12448</v>
      </c>
      <c r="L2" s="4">
        <v>5441621</v>
      </c>
      <c r="M2" s="4">
        <v>24895</v>
      </c>
      <c r="N2" s="4">
        <v>5429174</v>
      </c>
      <c r="O2" s="4">
        <f t="shared" ref="O2:O3" si="0">SUM(M2,N2)</f>
        <v>5454069</v>
      </c>
      <c r="P2" s="2" t="s">
        <v>57</v>
      </c>
      <c r="Q2" s="2" t="s">
        <v>58</v>
      </c>
      <c r="R2" s="2" t="s">
        <v>59</v>
      </c>
      <c r="S2" s="2">
        <v>0.72</v>
      </c>
      <c r="T2" s="2">
        <v>0.56000000000000005</v>
      </c>
      <c r="U2" s="2">
        <v>0.93</v>
      </c>
      <c r="V2" s="2" t="s">
        <v>60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.75" customHeight="1" x14ac:dyDescent="0.2">
      <c r="A3" s="6" t="s">
        <v>74</v>
      </c>
      <c r="B3" s="6">
        <v>2022</v>
      </c>
      <c r="C3" s="7" t="s">
        <v>75</v>
      </c>
      <c r="D3" s="6" t="s">
        <v>76</v>
      </c>
      <c r="E3" s="6" t="s">
        <v>26</v>
      </c>
      <c r="F3" s="6" t="s">
        <v>77</v>
      </c>
      <c r="G3" s="6" t="s">
        <v>35</v>
      </c>
      <c r="H3" s="6" t="s">
        <v>78</v>
      </c>
      <c r="I3" s="6" t="s">
        <v>79</v>
      </c>
      <c r="J3" s="6" t="s">
        <v>80</v>
      </c>
      <c r="K3" s="6"/>
      <c r="L3" s="6"/>
      <c r="M3" s="8">
        <v>25889</v>
      </c>
      <c r="N3" s="8">
        <v>32080</v>
      </c>
      <c r="O3" s="8">
        <f t="shared" si="0"/>
        <v>57969</v>
      </c>
      <c r="P3" s="6"/>
      <c r="Q3" s="6"/>
      <c r="R3" s="6"/>
      <c r="S3" s="6"/>
      <c r="T3" s="6"/>
      <c r="U3" s="6"/>
      <c r="V3" s="6"/>
      <c r="W3" s="6" t="s">
        <v>81</v>
      </c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5.75" customHeight="1" x14ac:dyDescent="0.2">
      <c r="A4" s="2" t="s">
        <v>32</v>
      </c>
      <c r="B4" s="2">
        <v>2021</v>
      </c>
      <c r="C4" s="2" t="s">
        <v>33</v>
      </c>
      <c r="D4" s="2" t="s">
        <v>25</v>
      </c>
      <c r="E4" s="2" t="s">
        <v>126</v>
      </c>
      <c r="G4" s="2" t="s">
        <v>35</v>
      </c>
      <c r="J4" s="2" t="s">
        <v>29</v>
      </c>
      <c r="K4" s="4">
        <v>1033</v>
      </c>
      <c r="L4" s="4">
        <v>11060</v>
      </c>
      <c r="M4" s="4">
        <f>SUM(K4,L4)</f>
        <v>12093</v>
      </c>
      <c r="N4" s="4">
        <v>11834</v>
      </c>
      <c r="O4" s="2">
        <v>259</v>
      </c>
      <c r="P4" s="2"/>
      <c r="Q4" s="2"/>
      <c r="R4" s="2" t="s">
        <v>30</v>
      </c>
      <c r="S4" s="2">
        <v>1.1599999999999999</v>
      </c>
      <c r="T4" s="2">
        <v>0.75</v>
      </c>
      <c r="U4" s="2">
        <v>1.78</v>
      </c>
      <c r="V4" s="2" t="s">
        <v>39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5.75" customHeight="1" x14ac:dyDescent="0.2">
      <c r="A5" s="2" t="s">
        <v>23</v>
      </c>
      <c r="B5" s="2">
        <v>2018</v>
      </c>
      <c r="C5" s="2" t="s">
        <v>24</v>
      </c>
      <c r="D5" s="2" t="s">
        <v>25</v>
      </c>
      <c r="E5" s="2" t="s">
        <v>127</v>
      </c>
      <c r="F5" s="2" t="s">
        <v>27</v>
      </c>
      <c r="G5" s="2" t="s">
        <v>35</v>
      </c>
      <c r="H5" s="2" t="s">
        <v>27</v>
      </c>
      <c r="J5" s="2" t="s">
        <v>29</v>
      </c>
      <c r="K5" s="2">
        <v>198</v>
      </c>
      <c r="L5" s="2">
        <v>389</v>
      </c>
      <c r="M5" s="2">
        <v>437</v>
      </c>
      <c r="N5" s="2">
        <v>150</v>
      </c>
      <c r="O5" s="2">
        <v>587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5.75" customHeight="1" x14ac:dyDescent="0.2">
      <c r="A6" s="2" t="s">
        <v>51</v>
      </c>
      <c r="B6" s="2">
        <v>2015</v>
      </c>
      <c r="C6" s="2" t="s">
        <v>33</v>
      </c>
      <c r="D6" s="2" t="s">
        <v>52</v>
      </c>
      <c r="E6" s="2" t="s">
        <v>26</v>
      </c>
      <c r="F6" s="2" t="s">
        <v>128</v>
      </c>
      <c r="G6" s="2" t="s">
        <v>35</v>
      </c>
      <c r="H6" s="2" t="s">
        <v>54</v>
      </c>
      <c r="I6" s="2" t="s">
        <v>129</v>
      </c>
      <c r="J6" s="2" t="s">
        <v>56</v>
      </c>
      <c r="K6" s="4">
        <v>31027</v>
      </c>
      <c r="L6" s="4">
        <v>5452525</v>
      </c>
      <c r="M6" s="4">
        <v>34433</v>
      </c>
      <c r="N6" s="4">
        <v>5449119</v>
      </c>
      <c r="O6" s="4">
        <f>SUM(N6,M6)</f>
        <v>5483552</v>
      </c>
      <c r="P6" s="2" t="s">
        <v>57</v>
      </c>
      <c r="Q6" s="2" t="s">
        <v>62</v>
      </c>
      <c r="R6" s="2" t="s">
        <v>59</v>
      </c>
      <c r="S6" s="2">
        <v>0.65</v>
      </c>
      <c r="T6" s="2">
        <v>0.52</v>
      </c>
      <c r="U6" s="2">
        <v>0.81</v>
      </c>
      <c r="V6" s="2" t="s">
        <v>60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5.75" customHeight="1" x14ac:dyDescent="0.2">
      <c r="A7" s="2" t="s">
        <v>82</v>
      </c>
      <c r="B7" s="2">
        <v>2019</v>
      </c>
      <c r="C7" s="2" t="s">
        <v>83</v>
      </c>
      <c r="D7" s="2" t="s">
        <v>76</v>
      </c>
      <c r="E7" s="2" t="s">
        <v>84</v>
      </c>
      <c r="F7" s="2" t="s">
        <v>85</v>
      </c>
      <c r="G7" s="2" t="s">
        <v>35</v>
      </c>
      <c r="H7" s="2" t="s">
        <v>86</v>
      </c>
      <c r="I7" s="2" t="s">
        <v>87</v>
      </c>
      <c r="J7" s="2" t="s">
        <v>130</v>
      </c>
      <c r="K7" s="2">
        <v>73</v>
      </c>
      <c r="L7" s="4">
        <v>999081</v>
      </c>
      <c r="M7" s="4">
        <v>45410</v>
      </c>
      <c r="N7" s="4">
        <v>953744</v>
      </c>
      <c r="O7" s="4">
        <v>999154</v>
      </c>
      <c r="P7" s="2" t="s">
        <v>88</v>
      </c>
      <c r="Q7" s="2" t="s">
        <v>89</v>
      </c>
      <c r="R7" s="2" t="s">
        <v>59</v>
      </c>
      <c r="S7" s="2">
        <v>3.52</v>
      </c>
      <c r="T7" s="2">
        <v>0.89</v>
      </c>
      <c r="U7" s="2">
        <v>13.8</v>
      </c>
      <c r="V7" s="2" t="s">
        <v>90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.75" customHeight="1" x14ac:dyDescent="0.2">
      <c r="A8" s="2" t="s">
        <v>100</v>
      </c>
      <c r="B8" s="2">
        <v>2015</v>
      </c>
      <c r="C8" s="2" t="s">
        <v>41</v>
      </c>
      <c r="D8" s="2" t="s">
        <v>101</v>
      </c>
      <c r="E8" s="2" t="s">
        <v>102</v>
      </c>
      <c r="F8" s="2" t="s">
        <v>131</v>
      </c>
      <c r="G8" s="2" t="s">
        <v>35</v>
      </c>
      <c r="H8" s="2" t="s">
        <v>132</v>
      </c>
      <c r="J8" s="5" t="s">
        <v>105</v>
      </c>
      <c r="K8" s="4" t="s">
        <v>107</v>
      </c>
      <c r="L8" s="2" t="s">
        <v>108</v>
      </c>
      <c r="M8" s="4">
        <v>1899</v>
      </c>
      <c r="N8" s="4">
        <v>206031</v>
      </c>
      <c r="O8" s="4">
        <v>207930</v>
      </c>
      <c r="P8" s="2"/>
      <c r="Q8" s="2"/>
      <c r="R8" s="2" t="s">
        <v>30</v>
      </c>
      <c r="S8" s="2" t="s">
        <v>133</v>
      </c>
      <c r="T8" s="2" t="s">
        <v>134</v>
      </c>
      <c r="U8" s="2" t="s">
        <v>135</v>
      </c>
      <c r="V8" s="2" t="s">
        <v>136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 x14ac:dyDescent="0.2">
      <c r="K9" s="2"/>
      <c r="L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5.75" customHeight="1" x14ac:dyDescent="0.2">
      <c r="K10" s="2"/>
      <c r="L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5.75" customHeight="1" x14ac:dyDescent="0.2">
      <c r="K11" s="2"/>
      <c r="L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5.75" customHeight="1" x14ac:dyDescent="0.2">
      <c r="K12" s="2"/>
      <c r="L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5.75" customHeight="1" x14ac:dyDescent="0.2">
      <c r="K13" s="2"/>
      <c r="L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5.75" customHeight="1" x14ac:dyDescent="0.2">
      <c r="K14" s="2"/>
      <c r="L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5.75" customHeight="1" x14ac:dyDescent="0.2">
      <c r="K15" s="2"/>
      <c r="L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5.75" customHeight="1" x14ac:dyDescent="0.2">
      <c r="K16" s="2"/>
      <c r="L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1:33" ht="15.75" customHeight="1" x14ac:dyDescent="0.2">
      <c r="K17" s="2"/>
      <c r="L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1:33" ht="15.75" customHeight="1" x14ac:dyDescent="0.2">
      <c r="K18" s="2"/>
      <c r="L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1:33" ht="15.75" customHeight="1" x14ac:dyDescent="0.2">
      <c r="K19" s="2"/>
      <c r="L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1:33" ht="15.75" customHeight="1" x14ac:dyDescent="0.2">
      <c r="K20" s="2"/>
      <c r="L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1:33" ht="12.75" x14ac:dyDescent="0.2">
      <c r="K21" s="2"/>
      <c r="L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1:33" ht="12.75" x14ac:dyDescent="0.2">
      <c r="K22" s="2"/>
      <c r="L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1:33" ht="12.75" x14ac:dyDescent="0.2">
      <c r="K23" s="2"/>
      <c r="L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1:33" ht="12.75" x14ac:dyDescent="0.2">
      <c r="K24" s="2"/>
      <c r="L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1:33" ht="12.75" x14ac:dyDescent="0.2">
      <c r="K25" s="2"/>
      <c r="L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1:33" ht="12.75" x14ac:dyDescent="0.2">
      <c r="K26" s="2"/>
      <c r="L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1:33" ht="12.75" x14ac:dyDescent="0.2">
      <c r="K27" s="2"/>
      <c r="L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1:33" ht="12.75" x14ac:dyDescent="0.2">
      <c r="K28" s="2"/>
      <c r="L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1:33" ht="12.75" x14ac:dyDescent="0.2">
      <c r="K29" s="2"/>
      <c r="L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1:33" ht="12.75" x14ac:dyDescent="0.2">
      <c r="K30" s="2"/>
      <c r="L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1:33" ht="12.75" x14ac:dyDescent="0.2">
      <c r="K31" s="2"/>
      <c r="L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1:33" ht="12.75" x14ac:dyDescent="0.2">
      <c r="K32" s="2"/>
      <c r="L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1:33" ht="12.75" x14ac:dyDescent="0.2">
      <c r="K33" s="2"/>
      <c r="L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1:33" ht="12.75" x14ac:dyDescent="0.2">
      <c r="K34" s="2"/>
      <c r="L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1:33" ht="12.75" x14ac:dyDescent="0.2">
      <c r="K35" s="2"/>
      <c r="L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1:33" ht="12.75" x14ac:dyDescent="0.2">
      <c r="K36" s="2"/>
      <c r="L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1:33" ht="12.75" x14ac:dyDescent="0.2">
      <c r="K37" s="2"/>
      <c r="L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1:33" ht="12.75" x14ac:dyDescent="0.2">
      <c r="K38" s="2"/>
      <c r="L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1:33" ht="12.75" x14ac:dyDescent="0.2">
      <c r="K39" s="2"/>
      <c r="L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1:33" ht="12.75" x14ac:dyDescent="0.2">
      <c r="K40" s="2"/>
      <c r="L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1:33" ht="12.75" x14ac:dyDescent="0.2">
      <c r="K41" s="2"/>
      <c r="L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1:33" ht="12.75" x14ac:dyDescent="0.2">
      <c r="K42" s="2"/>
      <c r="L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1:33" ht="12.75" x14ac:dyDescent="0.2">
      <c r="K43" s="2"/>
      <c r="L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1:33" ht="12.75" x14ac:dyDescent="0.2">
      <c r="K44" s="2"/>
      <c r="L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1:33" ht="12.75" x14ac:dyDescent="0.2">
      <c r="K45" s="2"/>
      <c r="L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1:33" ht="12.75" x14ac:dyDescent="0.2">
      <c r="K46" s="2"/>
      <c r="L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1:33" ht="12.75" x14ac:dyDescent="0.2">
      <c r="K47" s="2"/>
      <c r="L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1:33" ht="12.75" x14ac:dyDescent="0.2">
      <c r="K48" s="2"/>
      <c r="L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1:33" ht="12.75" x14ac:dyDescent="0.2">
      <c r="K49" s="2"/>
      <c r="L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1:33" ht="12.75" x14ac:dyDescent="0.2">
      <c r="K50" s="2"/>
      <c r="L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1:33" ht="12.75" x14ac:dyDescent="0.2">
      <c r="K51" s="2"/>
      <c r="L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1:33" ht="12.75" x14ac:dyDescent="0.2">
      <c r="K52" s="2"/>
      <c r="L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1:33" ht="12.75" x14ac:dyDescent="0.2">
      <c r="K53" s="2"/>
      <c r="L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1:33" ht="12.75" x14ac:dyDescent="0.2">
      <c r="K54" s="2"/>
      <c r="L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1:33" ht="12.75" x14ac:dyDescent="0.2">
      <c r="K55" s="2"/>
      <c r="L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1:33" ht="12.75" x14ac:dyDescent="0.2">
      <c r="K56" s="2"/>
      <c r="L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1:33" ht="12.75" x14ac:dyDescent="0.2">
      <c r="K57" s="2"/>
      <c r="L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1:33" ht="12.75" x14ac:dyDescent="0.2">
      <c r="K58" s="2"/>
      <c r="L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1:33" ht="12.75" x14ac:dyDescent="0.2">
      <c r="K59" s="2"/>
      <c r="L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1:33" ht="12.75" x14ac:dyDescent="0.2">
      <c r="K60" s="2"/>
      <c r="L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1:33" ht="12.75" x14ac:dyDescent="0.2">
      <c r="K61" s="2"/>
      <c r="L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1:33" ht="12.75" x14ac:dyDescent="0.2">
      <c r="K62" s="2"/>
      <c r="L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1:33" ht="12.75" x14ac:dyDescent="0.2">
      <c r="K63" s="2"/>
      <c r="L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1:33" ht="12.75" x14ac:dyDescent="0.2">
      <c r="K64" s="2"/>
      <c r="L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1:33" ht="12.75" x14ac:dyDescent="0.2">
      <c r="K65" s="2"/>
      <c r="L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1:33" ht="12.75" x14ac:dyDescent="0.2">
      <c r="K66" s="2"/>
      <c r="L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1:33" ht="12.75" x14ac:dyDescent="0.2">
      <c r="K67" s="2"/>
      <c r="L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1:33" ht="12.75" x14ac:dyDescent="0.2">
      <c r="K68" s="2"/>
      <c r="L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1:33" ht="12.75" x14ac:dyDescent="0.2">
      <c r="K69" s="2"/>
      <c r="L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1:33" ht="12.75" x14ac:dyDescent="0.2">
      <c r="K70" s="2"/>
      <c r="L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1:33" ht="12.75" x14ac:dyDescent="0.2">
      <c r="K71" s="2"/>
      <c r="L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1:33" ht="12.75" x14ac:dyDescent="0.2">
      <c r="K72" s="2"/>
      <c r="L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1:33" ht="12.75" x14ac:dyDescent="0.2">
      <c r="K73" s="2"/>
      <c r="L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1:33" ht="12.75" x14ac:dyDescent="0.2">
      <c r="K74" s="2"/>
      <c r="L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1:33" ht="12.75" x14ac:dyDescent="0.2">
      <c r="K75" s="2"/>
      <c r="L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1:33" ht="12.75" x14ac:dyDescent="0.2">
      <c r="K76" s="2"/>
      <c r="L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1:33" ht="12.75" x14ac:dyDescent="0.2">
      <c r="K77" s="2"/>
      <c r="L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1:33" ht="12.75" x14ac:dyDescent="0.2">
      <c r="K78" s="2"/>
      <c r="L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1:33" ht="12.75" x14ac:dyDescent="0.2">
      <c r="K79" s="2"/>
      <c r="L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1:33" ht="12.75" x14ac:dyDescent="0.2">
      <c r="K80" s="2"/>
      <c r="L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1:33" ht="12.75" x14ac:dyDescent="0.2">
      <c r="K81" s="2"/>
      <c r="L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1:33" ht="12.75" x14ac:dyDescent="0.2">
      <c r="K82" s="2"/>
      <c r="L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1:33" ht="12.75" x14ac:dyDescent="0.2">
      <c r="K83" s="2"/>
      <c r="L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1:33" ht="12.75" x14ac:dyDescent="0.2">
      <c r="K84" s="2"/>
      <c r="L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1:33" ht="12.75" x14ac:dyDescent="0.2">
      <c r="K85" s="2"/>
      <c r="L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1:33" ht="12.75" x14ac:dyDescent="0.2">
      <c r="K86" s="2"/>
      <c r="L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1:33" ht="12.75" x14ac:dyDescent="0.2">
      <c r="K87" s="2"/>
      <c r="L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1:33" ht="12.75" x14ac:dyDescent="0.2">
      <c r="K88" s="2"/>
      <c r="L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1:33" ht="12.75" x14ac:dyDescent="0.2">
      <c r="K89" s="2"/>
      <c r="L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1:33" ht="12.75" x14ac:dyDescent="0.2">
      <c r="K90" s="2"/>
      <c r="L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1:33" ht="12.75" x14ac:dyDescent="0.2">
      <c r="K91" s="2"/>
      <c r="L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1:33" ht="12.75" x14ac:dyDescent="0.2">
      <c r="K92" s="2"/>
      <c r="L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1:33" ht="12.75" x14ac:dyDescent="0.2">
      <c r="K93" s="2"/>
      <c r="L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1:33" ht="12.75" x14ac:dyDescent="0.2">
      <c r="K94" s="2"/>
      <c r="L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1:33" ht="12.75" x14ac:dyDescent="0.2">
      <c r="K95" s="2"/>
      <c r="L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1:33" ht="12.75" x14ac:dyDescent="0.2">
      <c r="K96" s="2"/>
      <c r="L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1:33" ht="12.75" x14ac:dyDescent="0.2">
      <c r="K97" s="2"/>
      <c r="L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1:33" ht="12.75" x14ac:dyDescent="0.2">
      <c r="K98" s="2"/>
      <c r="L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1:33" ht="12.75" x14ac:dyDescent="0.2">
      <c r="K99" s="2"/>
      <c r="L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1:33" ht="12.75" x14ac:dyDescent="0.2">
      <c r="K100" s="2"/>
      <c r="L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1:33" ht="12.75" x14ac:dyDescent="0.2">
      <c r="K101" s="2"/>
      <c r="L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1:33" ht="12.75" x14ac:dyDescent="0.2">
      <c r="K102" s="2"/>
      <c r="L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1:33" ht="12.75" x14ac:dyDescent="0.2">
      <c r="K103" s="2"/>
      <c r="L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1:33" ht="12.75" x14ac:dyDescent="0.2">
      <c r="K104" s="2"/>
      <c r="L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1:33" ht="12.75" x14ac:dyDescent="0.2">
      <c r="K105" s="2"/>
      <c r="L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1:33" ht="12.75" x14ac:dyDescent="0.2">
      <c r="K106" s="2"/>
      <c r="L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1:33" ht="12.75" x14ac:dyDescent="0.2">
      <c r="K107" s="2"/>
      <c r="L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1:33" ht="12.75" x14ac:dyDescent="0.2">
      <c r="K108" s="2"/>
      <c r="L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1:33" ht="12.75" x14ac:dyDescent="0.2">
      <c r="K109" s="2"/>
      <c r="L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1:33" ht="12.75" x14ac:dyDescent="0.2">
      <c r="K110" s="2"/>
      <c r="L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1:33" ht="12.75" x14ac:dyDescent="0.2">
      <c r="K111" s="2"/>
      <c r="L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1:33" ht="12.75" x14ac:dyDescent="0.2">
      <c r="K112" s="2"/>
      <c r="L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1:33" ht="12.75" x14ac:dyDescent="0.2">
      <c r="K113" s="2"/>
      <c r="L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1:33" ht="12.75" x14ac:dyDescent="0.2">
      <c r="K114" s="2"/>
      <c r="L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1:33" ht="12.75" x14ac:dyDescent="0.2">
      <c r="K115" s="2"/>
      <c r="L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1:33" ht="12.75" x14ac:dyDescent="0.2">
      <c r="K116" s="2"/>
      <c r="L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1:33" ht="12.75" x14ac:dyDescent="0.2">
      <c r="K117" s="2"/>
      <c r="L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1:33" ht="12.75" x14ac:dyDescent="0.2">
      <c r="K118" s="2"/>
      <c r="L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1:33" ht="12.75" x14ac:dyDescent="0.2">
      <c r="K119" s="2"/>
      <c r="L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1:33" ht="12.75" x14ac:dyDescent="0.2">
      <c r="K120" s="2"/>
      <c r="L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1:33" ht="12.75" x14ac:dyDescent="0.2">
      <c r="K121" s="2"/>
      <c r="L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1:33" ht="12.75" x14ac:dyDescent="0.2">
      <c r="K122" s="2"/>
      <c r="L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1:33" ht="12.75" x14ac:dyDescent="0.2">
      <c r="K123" s="2"/>
      <c r="L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1:33" ht="12.75" x14ac:dyDescent="0.2">
      <c r="K124" s="2"/>
      <c r="L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1:33" ht="12.75" x14ac:dyDescent="0.2">
      <c r="K125" s="2"/>
      <c r="L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1:33" ht="12.75" x14ac:dyDescent="0.2">
      <c r="K126" s="2"/>
      <c r="L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1:33" ht="12.75" x14ac:dyDescent="0.2">
      <c r="K127" s="2"/>
      <c r="L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1:33" ht="12.75" x14ac:dyDescent="0.2">
      <c r="K128" s="2"/>
      <c r="L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1:33" ht="12.75" x14ac:dyDescent="0.2">
      <c r="K129" s="2"/>
      <c r="L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1:33" ht="12.75" x14ac:dyDescent="0.2">
      <c r="K130" s="2"/>
      <c r="L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1:33" ht="12.75" x14ac:dyDescent="0.2">
      <c r="K131" s="2"/>
      <c r="L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1:33" ht="12.75" x14ac:dyDescent="0.2">
      <c r="K132" s="2"/>
      <c r="L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1:33" ht="12.75" x14ac:dyDescent="0.2">
      <c r="K133" s="2"/>
      <c r="L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1:33" ht="12.75" x14ac:dyDescent="0.2">
      <c r="K134" s="2"/>
      <c r="L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1:33" ht="12.75" x14ac:dyDescent="0.2">
      <c r="K135" s="2"/>
      <c r="L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1:33" ht="12.75" x14ac:dyDescent="0.2">
      <c r="K136" s="2"/>
      <c r="L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1:33" ht="12.75" x14ac:dyDescent="0.2">
      <c r="K137" s="2"/>
      <c r="L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1:33" ht="12.75" x14ac:dyDescent="0.2">
      <c r="K138" s="2"/>
      <c r="L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1:33" ht="12.75" x14ac:dyDescent="0.2">
      <c r="K139" s="2"/>
      <c r="L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1:33" ht="12.75" x14ac:dyDescent="0.2">
      <c r="K140" s="2"/>
      <c r="L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1:33" ht="12.75" x14ac:dyDescent="0.2">
      <c r="K141" s="2"/>
      <c r="L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1:33" ht="12.75" x14ac:dyDescent="0.2">
      <c r="K142" s="2"/>
      <c r="L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1:33" ht="12.75" x14ac:dyDescent="0.2">
      <c r="K143" s="2"/>
      <c r="L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1:33" ht="12.75" x14ac:dyDescent="0.2">
      <c r="K144" s="2"/>
      <c r="L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1:33" ht="12.75" x14ac:dyDescent="0.2">
      <c r="K145" s="2"/>
      <c r="L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1:33" ht="12.75" x14ac:dyDescent="0.2">
      <c r="K146" s="2"/>
      <c r="L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1:33" ht="12.75" x14ac:dyDescent="0.2">
      <c r="K147" s="2"/>
      <c r="L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1:33" ht="12.75" x14ac:dyDescent="0.2">
      <c r="K148" s="2"/>
      <c r="L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1:33" ht="12.75" x14ac:dyDescent="0.2">
      <c r="K149" s="2"/>
      <c r="L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1:33" ht="12.75" x14ac:dyDescent="0.2">
      <c r="K150" s="2"/>
      <c r="L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1:33" ht="12.75" x14ac:dyDescent="0.2">
      <c r="K151" s="2"/>
      <c r="L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1:33" ht="12.75" x14ac:dyDescent="0.2">
      <c r="K152" s="2"/>
      <c r="L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1:33" ht="12.75" x14ac:dyDescent="0.2">
      <c r="K153" s="2"/>
      <c r="L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1:33" ht="12.75" x14ac:dyDescent="0.2">
      <c r="K154" s="2"/>
      <c r="L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1:33" ht="12.75" x14ac:dyDescent="0.2">
      <c r="K155" s="2"/>
      <c r="L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1:33" ht="12.75" x14ac:dyDescent="0.2">
      <c r="K156" s="2"/>
      <c r="L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1:33" ht="12.75" x14ac:dyDescent="0.2">
      <c r="K157" s="2"/>
      <c r="L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1:33" ht="12.75" x14ac:dyDescent="0.2">
      <c r="K158" s="2"/>
      <c r="L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1:33" ht="12.75" x14ac:dyDescent="0.2">
      <c r="K159" s="2"/>
      <c r="L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1:33" ht="12.75" x14ac:dyDescent="0.2">
      <c r="K160" s="2"/>
      <c r="L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1:33" ht="12.75" x14ac:dyDescent="0.2">
      <c r="K161" s="2"/>
      <c r="L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1:33" ht="12.75" x14ac:dyDescent="0.2">
      <c r="K162" s="2"/>
      <c r="L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1:33" ht="12.75" x14ac:dyDescent="0.2">
      <c r="K163" s="2"/>
      <c r="L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1:33" ht="12.75" x14ac:dyDescent="0.2">
      <c r="K164" s="2"/>
      <c r="L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1:33" ht="12.75" x14ac:dyDescent="0.2">
      <c r="K165" s="2"/>
      <c r="L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1:33" ht="12.75" x14ac:dyDescent="0.2">
      <c r="K166" s="2"/>
      <c r="L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1:33" ht="12.75" x14ac:dyDescent="0.2">
      <c r="K167" s="2"/>
      <c r="L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1:33" ht="12.75" x14ac:dyDescent="0.2">
      <c r="K168" s="2"/>
      <c r="L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1:33" ht="12.75" x14ac:dyDescent="0.2">
      <c r="K169" s="2"/>
      <c r="L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1:33" ht="12.75" x14ac:dyDescent="0.2">
      <c r="K170" s="2"/>
      <c r="L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1:33" ht="12.75" x14ac:dyDescent="0.2">
      <c r="K171" s="2"/>
      <c r="L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1:33" ht="12.75" x14ac:dyDescent="0.2">
      <c r="K172" s="2"/>
      <c r="L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1:33" ht="12.75" x14ac:dyDescent="0.2">
      <c r="K173" s="2"/>
      <c r="L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1:33" ht="12.75" x14ac:dyDescent="0.2">
      <c r="K174" s="2"/>
      <c r="L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1:33" ht="12.75" x14ac:dyDescent="0.2">
      <c r="K175" s="2"/>
      <c r="L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1:33" ht="12.75" x14ac:dyDescent="0.2">
      <c r="K176" s="2"/>
      <c r="L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1:33" ht="12.75" x14ac:dyDescent="0.2">
      <c r="K177" s="2"/>
      <c r="L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1:33" ht="12.75" x14ac:dyDescent="0.2">
      <c r="K178" s="2"/>
      <c r="L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1:33" ht="12.75" x14ac:dyDescent="0.2">
      <c r="K179" s="2"/>
      <c r="L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1:33" ht="12.75" x14ac:dyDescent="0.2">
      <c r="K180" s="2"/>
      <c r="L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1:33" ht="12.75" x14ac:dyDescent="0.2">
      <c r="K181" s="2"/>
      <c r="L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1:33" ht="12.75" x14ac:dyDescent="0.2">
      <c r="K182" s="2"/>
      <c r="L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1:33" ht="12.75" x14ac:dyDescent="0.2">
      <c r="K183" s="2"/>
      <c r="L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1:33" ht="12.75" x14ac:dyDescent="0.2">
      <c r="K184" s="2"/>
      <c r="L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1:33" ht="12.75" x14ac:dyDescent="0.2">
      <c r="K185" s="2"/>
      <c r="L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1:33" ht="12.75" x14ac:dyDescent="0.2">
      <c r="K186" s="2"/>
      <c r="L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1:33" ht="12.75" x14ac:dyDescent="0.2">
      <c r="K187" s="2"/>
      <c r="L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1:33" ht="12.75" x14ac:dyDescent="0.2">
      <c r="K188" s="2"/>
      <c r="L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1:33" ht="12.75" x14ac:dyDescent="0.2">
      <c r="K189" s="2"/>
      <c r="L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1:33" ht="12.75" x14ac:dyDescent="0.2">
      <c r="K190" s="2"/>
      <c r="L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1:33" ht="12.75" x14ac:dyDescent="0.2">
      <c r="K191" s="2"/>
      <c r="L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1:33" ht="12.75" x14ac:dyDescent="0.2">
      <c r="K192" s="2"/>
      <c r="L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1:33" ht="12.75" x14ac:dyDescent="0.2">
      <c r="K193" s="2"/>
      <c r="L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1:33" ht="12.75" x14ac:dyDescent="0.2">
      <c r="K194" s="2"/>
      <c r="L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1:33" ht="12.75" x14ac:dyDescent="0.2">
      <c r="K195" s="2"/>
      <c r="L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1:33" ht="12.75" x14ac:dyDescent="0.2">
      <c r="K196" s="2"/>
      <c r="L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1:33" ht="12.75" x14ac:dyDescent="0.2">
      <c r="K197" s="2"/>
      <c r="L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1:33" ht="12.75" x14ac:dyDescent="0.2">
      <c r="K198" s="2"/>
      <c r="L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1:33" ht="12.75" x14ac:dyDescent="0.2">
      <c r="K199" s="2"/>
      <c r="L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1:33" ht="12.75" x14ac:dyDescent="0.2">
      <c r="K200" s="2"/>
      <c r="L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1:33" ht="12.75" x14ac:dyDescent="0.2">
      <c r="K201" s="2"/>
      <c r="L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1:33" ht="12.75" x14ac:dyDescent="0.2">
      <c r="K202" s="2"/>
      <c r="L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1:33" ht="12.75" x14ac:dyDescent="0.2">
      <c r="K203" s="2"/>
      <c r="L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1:33" ht="12.75" x14ac:dyDescent="0.2">
      <c r="K204" s="2"/>
      <c r="L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1:33" ht="12.75" x14ac:dyDescent="0.2">
      <c r="K205" s="2"/>
      <c r="L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1:33" ht="12.75" x14ac:dyDescent="0.2">
      <c r="K206" s="2"/>
      <c r="L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1:33" ht="12.75" x14ac:dyDescent="0.2">
      <c r="K207" s="2"/>
      <c r="L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1:33" ht="12.75" x14ac:dyDescent="0.2">
      <c r="K208" s="2"/>
      <c r="L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1:33" ht="12.75" x14ac:dyDescent="0.2">
      <c r="K209" s="2"/>
      <c r="L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1:33" ht="12.75" x14ac:dyDescent="0.2">
      <c r="K210" s="2"/>
      <c r="L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1:33" ht="12.75" x14ac:dyDescent="0.2">
      <c r="K211" s="2"/>
      <c r="L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1:33" ht="12.75" x14ac:dyDescent="0.2">
      <c r="K212" s="2"/>
      <c r="L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1:33" ht="12.75" x14ac:dyDescent="0.2">
      <c r="K213" s="2"/>
      <c r="L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1:33" ht="12.75" x14ac:dyDescent="0.2">
      <c r="K214" s="2"/>
      <c r="L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1:33" ht="12.75" x14ac:dyDescent="0.2">
      <c r="K215" s="2"/>
      <c r="L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1:33" ht="12.75" x14ac:dyDescent="0.2">
      <c r="K216" s="2"/>
      <c r="L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1:33" ht="12.75" x14ac:dyDescent="0.2">
      <c r="K217" s="2"/>
      <c r="L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1:33" ht="12.75" x14ac:dyDescent="0.2">
      <c r="K218" s="2"/>
      <c r="L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1:33" ht="12.75" x14ac:dyDescent="0.2">
      <c r="K219" s="2"/>
      <c r="L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1:33" ht="12.75" x14ac:dyDescent="0.2">
      <c r="K220" s="2"/>
      <c r="L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1:33" ht="12.75" x14ac:dyDescent="0.2">
      <c r="K221" s="2"/>
      <c r="L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1:33" ht="12.75" x14ac:dyDescent="0.2">
      <c r="K222" s="2"/>
      <c r="L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1:33" ht="12.75" x14ac:dyDescent="0.2">
      <c r="K223" s="2"/>
      <c r="L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1:33" ht="12.75" x14ac:dyDescent="0.2">
      <c r="K224" s="2"/>
      <c r="L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1:33" ht="12.75" x14ac:dyDescent="0.2">
      <c r="K225" s="2"/>
      <c r="L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1:33" ht="12.75" x14ac:dyDescent="0.2">
      <c r="K226" s="2"/>
      <c r="L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1:33" ht="12.75" x14ac:dyDescent="0.2">
      <c r="K227" s="2"/>
      <c r="L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1:33" ht="12.75" x14ac:dyDescent="0.2">
      <c r="K228" s="2"/>
      <c r="L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1:33" ht="12.75" x14ac:dyDescent="0.2">
      <c r="K229" s="2"/>
      <c r="L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1:33" ht="12.75" x14ac:dyDescent="0.2">
      <c r="K230" s="2"/>
      <c r="L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1:33" ht="12.75" x14ac:dyDescent="0.2">
      <c r="K231" s="2"/>
      <c r="L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1:33" ht="12.75" x14ac:dyDescent="0.2">
      <c r="K232" s="2"/>
      <c r="L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1:33" ht="12.75" x14ac:dyDescent="0.2">
      <c r="K233" s="2"/>
      <c r="L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1:33" ht="12.75" x14ac:dyDescent="0.2">
      <c r="K234" s="2"/>
      <c r="L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1:33" ht="12.75" x14ac:dyDescent="0.2">
      <c r="K235" s="2"/>
      <c r="L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1:33" ht="12.75" x14ac:dyDescent="0.2">
      <c r="K236" s="2"/>
      <c r="L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1:33" ht="12.75" x14ac:dyDescent="0.2">
      <c r="K237" s="2"/>
      <c r="L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1:33" ht="12.75" x14ac:dyDescent="0.2">
      <c r="K238" s="2"/>
      <c r="L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1:33" ht="12.75" x14ac:dyDescent="0.2">
      <c r="K239" s="2"/>
      <c r="L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1:33" ht="12.75" x14ac:dyDescent="0.2">
      <c r="K240" s="2"/>
      <c r="L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1:33" ht="12.75" x14ac:dyDescent="0.2">
      <c r="K241" s="2"/>
      <c r="L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1:33" ht="12.75" x14ac:dyDescent="0.2">
      <c r="K242" s="2"/>
      <c r="L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1:33" ht="12.75" x14ac:dyDescent="0.2">
      <c r="K243" s="2"/>
      <c r="L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1:33" ht="12.75" x14ac:dyDescent="0.2">
      <c r="K244" s="2"/>
      <c r="L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1:33" ht="12.75" x14ac:dyDescent="0.2">
      <c r="K245" s="2"/>
      <c r="L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1:33" ht="12.75" x14ac:dyDescent="0.2">
      <c r="K246" s="2"/>
      <c r="L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1:33" ht="12.75" x14ac:dyDescent="0.2">
      <c r="K247" s="2"/>
      <c r="L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1:33" ht="12.75" x14ac:dyDescent="0.2">
      <c r="K248" s="2"/>
      <c r="L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1:33" ht="12.75" x14ac:dyDescent="0.2">
      <c r="K249" s="2"/>
      <c r="L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1:33" ht="12.75" x14ac:dyDescent="0.2">
      <c r="K250" s="2"/>
      <c r="L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1:33" ht="12.75" x14ac:dyDescent="0.2">
      <c r="K251" s="2"/>
      <c r="L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1:33" ht="12.75" x14ac:dyDescent="0.2">
      <c r="K252" s="2"/>
      <c r="L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1:33" ht="12.75" x14ac:dyDescent="0.2">
      <c r="K253" s="2"/>
      <c r="L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1:33" ht="12.75" x14ac:dyDescent="0.2">
      <c r="K254" s="2"/>
      <c r="L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1:33" ht="12.75" x14ac:dyDescent="0.2">
      <c r="K255" s="2"/>
      <c r="L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1:33" ht="12.75" x14ac:dyDescent="0.2">
      <c r="K256" s="2"/>
      <c r="L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1:33" ht="12.75" x14ac:dyDescent="0.2">
      <c r="K257" s="2"/>
      <c r="L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1:33" ht="12.75" x14ac:dyDescent="0.2">
      <c r="K258" s="2"/>
      <c r="L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1:33" ht="12.75" x14ac:dyDescent="0.2">
      <c r="K259" s="2"/>
      <c r="L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1:33" ht="12.75" x14ac:dyDescent="0.2">
      <c r="K260" s="2"/>
      <c r="L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1:33" ht="12.75" x14ac:dyDescent="0.2">
      <c r="K261" s="2"/>
      <c r="L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1:33" ht="12.75" x14ac:dyDescent="0.2">
      <c r="K262" s="2"/>
      <c r="L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1:33" ht="12.75" x14ac:dyDescent="0.2">
      <c r="K263" s="2"/>
      <c r="L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1:33" ht="12.75" x14ac:dyDescent="0.2">
      <c r="K264" s="2"/>
      <c r="L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1:33" ht="12.75" x14ac:dyDescent="0.2">
      <c r="K265" s="2"/>
      <c r="L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1:33" ht="12.75" x14ac:dyDescent="0.2">
      <c r="K266" s="2"/>
      <c r="L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1:33" ht="12.75" x14ac:dyDescent="0.2">
      <c r="K267" s="2"/>
      <c r="L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1:33" ht="12.75" x14ac:dyDescent="0.2">
      <c r="K268" s="2"/>
      <c r="L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1:33" ht="12.75" x14ac:dyDescent="0.2">
      <c r="K269" s="2"/>
      <c r="L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1:33" ht="12.75" x14ac:dyDescent="0.2">
      <c r="K270" s="2"/>
      <c r="L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1:33" ht="12.75" x14ac:dyDescent="0.2">
      <c r="K271" s="2"/>
      <c r="L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1:33" ht="12.75" x14ac:dyDescent="0.2">
      <c r="K272" s="2"/>
      <c r="L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1:33" ht="12.75" x14ac:dyDescent="0.2">
      <c r="K273" s="2"/>
      <c r="L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1:33" ht="12.75" x14ac:dyDescent="0.2">
      <c r="K274" s="2"/>
      <c r="L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1:33" ht="12.75" x14ac:dyDescent="0.2">
      <c r="K275" s="2"/>
      <c r="L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1:33" ht="12.75" x14ac:dyDescent="0.2">
      <c r="K276" s="2"/>
      <c r="L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1:33" ht="12.75" x14ac:dyDescent="0.2">
      <c r="K277" s="2"/>
      <c r="L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1:33" ht="12.75" x14ac:dyDescent="0.2">
      <c r="K278" s="2"/>
      <c r="L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1:33" ht="12.75" x14ac:dyDescent="0.2">
      <c r="K279" s="2"/>
      <c r="L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1:33" ht="12.75" x14ac:dyDescent="0.2">
      <c r="K280" s="2"/>
      <c r="L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1:33" ht="12.75" x14ac:dyDescent="0.2">
      <c r="K281" s="2"/>
      <c r="L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1:33" ht="12.75" x14ac:dyDescent="0.2">
      <c r="K282" s="2"/>
      <c r="L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1:33" ht="12.75" x14ac:dyDescent="0.2">
      <c r="K283" s="2"/>
      <c r="L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1:33" ht="12.75" x14ac:dyDescent="0.2">
      <c r="K284" s="2"/>
      <c r="L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1:33" ht="12.75" x14ac:dyDescent="0.2">
      <c r="K285" s="2"/>
      <c r="L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1:33" ht="12.75" x14ac:dyDescent="0.2">
      <c r="K286" s="2"/>
      <c r="L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1:33" ht="12.75" x14ac:dyDescent="0.2">
      <c r="K287" s="2"/>
      <c r="L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1:33" ht="12.75" x14ac:dyDescent="0.2">
      <c r="K288" s="2"/>
      <c r="L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1:33" ht="12.75" x14ac:dyDescent="0.2">
      <c r="K289" s="2"/>
      <c r="L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1:33" ht="12.75" x14ac:dyDescent="0.2">
      <c r="K290" s="2"/>
      <c r="L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1:33" ht="12.75" x14ac:dyDescent="0.2">
      <c r="K291" s="2"/>
      <c r="L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1:33" ht="12.75" x14ac:dyDescent="0.2">
      <c r="K292" s="2"/>
      <c r="L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1:33" ht="12.75" x14ac:dyDescent="0.2">
      <c r="K293" s="2"/>
      <c r="L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1:33" ht="12.75" x14ac:dyDescent="0.2">
      <c r="K294" s="2"/>
      <c r="L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1:33" ht="12.75" x14ac:dyDescent="0.2">
      <c r="K295" s="2"/>
      <c r="L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1:33" ht="12.75" x14ac:dyDescent="0.2">
      <c r="K296" s="2"/>
      <c r="L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1:33" ht="12.75" x14ac:dyDescent="0.2">
      <c r="K297" s="2"/>
      <c r="L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1:33" ht="12.75" x14ac:dyDescent="0.2">
      <c r="K298" s="2"/>
      <c r="L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1:33" ht="12.75" x14ac:dyDescent="0.2">
      <c r="K299" s="2"/>
      <c r="L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1:33" ht="12.75" x14ac:dyDescent="0.2">
      <c r="K300" s="2"/>
      <c r="L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1:33" ht="12.75" x14ac:dyDescent="0.2">
      <c r="K301" s="2"/>
      <c r="L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1:33" ht="12.75" x14ac:dyDescent="0.2">
      <c r="K302" s="2"/>
      <c r="L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1:33" ht="12.75" x14ac:dyDescent="0.2">
      <c r="K303" s="2"/>
      <c r="L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1:33" ht="12.75" x14ac:dyDescent="0.2">
      <c r="K304" s="2"/>
      <c r="L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1:33" ht="12.75" x14ac:dyDescent="0.2">
      <c r="K305" s="2"/>
      <c r="L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1:33" ht="12.75" x14ac:dyDescent="0.2">
      <c r="K306" s="2"/>
      <c r="L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1:33" ht="12.75" x14ac:dyDescent="0.2">
      <c r="K307" s="2"/>
      <c r="L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1:33" ht="12.75" x14ac:dyDescent="0.2">
      <c r="K308" s="2"/>
      <c r="L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1:33" ht="12.75" x14ac:dyDescent="0.2">
      <c r="K309" s="2"/>
      <c r="L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1:33" ht="12.75" x14ac:dyDescent="0.2">
      <c r="K310" s="2"/>
      <c r="L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1:33" ht="12.75" x14ac:dyDescent="0.2">
      <c r="K311" s="2"/>
      <c r="L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1:33" ht="12.75" x14ac:dyDescent="0.2">
      <c r="K312" s="2"/>
      <c r="L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1:33" ht="12.75" x14ac:dyDescent="0.2">
      <c r="K313" s="2"/>
      <c r="L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1:33" ht="12.75" x14ac:dyDescent="0.2">
      <c r="K314" s="2"/>
      <c r="L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1:33" ht="12.75" x14ac:dyDescent="0.2">
      <c r="K315" s="2"/>
      <c r="L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1:33" ht="12.75" x14ac:dyDescent="0.2">
      <c r="K316" s="2"/>
      <c r="L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1:33" ht="12.75" x14ac:dyDescent="0.2">
      <c r="K317" s="2"/>
      <c r="L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1:33" ht="12.75" x14ac:dyDescent="0.2">
      <c r="K318" s="2"/>
      <c r="L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1:33" ht="12.75" x14ac:dyDescent="0.2">
      <c r="K319" s="2"/>
      <c r="L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1:33" ht="12.75" x14ac:dyDescent="0.2">
      <c r="K320" s="2"/>
      <c r="L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1:33" ht="12.75" x14ac:dyDescent="0.2">
      <c r="K321" s="2"/>
      <c r="L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1:33" ht="12.75" x14ac:dyDescent="0.2">
      <c r="K322" s="2"/>
      <c r="L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1:33" ht="12.75" x14ac:dyDescent="0.2">
      <c r="K323" s="2"/>
      <c r="L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1:33" ht="12.75" x14ac:dyDescent="0.2">
      <c r="K324" s="2"/>
      <c r="L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1:33" ht="12.75" x14ac:dyDescent="0.2">
      <c r="K325" s="2"/>
      <c r="L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1:33" ht="12.75" x14ac:dyDescent="0.2">
      <c r="K326" s="2"/>
      <c r="L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1:33" ht="12.75" x14ac:dyDescent="0.2">
      <c r="K327" s="2"/>
      <c r="L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1:33" ht="12.75" x14ac:dyDescent="0.2">
      <c r="K328" s="2"/>
      <c r="L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1:33" ht="12.75" x14ac:dyDescent="0.2">
      <c r="K329" s="2"/>
      <c r="L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1:33" ht="12.75" x14ac:dyDescent="0.2">
      <c r="K330" s="2"/>
      <c r="L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1:33" ht="12.75" x14ac:dyDescent="0.2">
      <c r="K331" s="2"/>
      <c r="L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1:33" ht="12.75" x14ac:dyDescent="0.2">
      <c r="K332" s="2"/>
      <c r="L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1:33" ht="12.75" x14ac:dyDescent="0.2">
      <c r="K333" s="2"/>
      <c r="L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1:33" ht="12.75" x14ac:dyDescent="0.2">
      <c r="K334" s="2"/>
      <c r="L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1:33" ht="12.75" x14ac:dyDescent="0.2">
      <c r="K335" s="2"/>
      <c r="L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1:33" ht="12.75" x14ac:dyDescent="0.2">
      <c r="K336" s="2"/>
      <c r="L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1:33" ht="12.75" x14ac:dyDescent="0.2">
      <c r="K337" s="2"/>
      <c r="L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1:33" ht="12.75" x14ac:dyDescent="0.2">
      <c r="K338" s="2"/>
      <c r="L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1:33" ht="12.75" x14ac:dyDescent="0.2">
      <c r="K339" s="2"/>
      <c r="L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1:33" ht="12.75" x14ac:dyDescent="0.2">
      <c r="K340" s="2"/>
      <c r="L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1:33" ht="12.75" x14ac:dyDescent="0.2">
      <c r="K341" s="2"/>
      <c r="L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1:33" ht="12.75" x14ac:dyDescent="0.2">
      <c r="K342" s="2"/>
      <c r="L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1:33" ht="12.75" x14ac:dyDescent="0.2">
      <c r="K343" s="2"/>
      <c r="L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1:33" ht="12.75" x14ac:dyDescent="0.2">
      <c r="K344" s="2"/>
      <c r="L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1:33" ht="12.75" x14ac:dyDescent="0.2">
      <c r="K345" s="2"/>
      <c r="L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1:33" ht="12.75" x14ac:dyDescent="0.2">
      <c r="K346" s="2"/>
      <c r="L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1:33" ht="12.75" x14ac:dyDescent="0.2">
      <c r="K347" s="2"/>
      <c r="L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1:33" ht="12.75" x14ac:dyDescent="0.2">
      <c r="K348" s="2"/>
      <c r="L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1:33" ht="12.75" x14ac:dyDescent="0.2">
      <c r="K349" s="2"/>
      <c r="L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1:33" ht="12.75" x14ac:dyDescent="0.2">
      <c r="K350" s="2"/>
      <c r="L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1:33" ht="12.75" x14ac:dyDescent="0.2">
      <c r="K351" s="2"/>
      <c r="L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1:33" ht="12.75" x14ac:dyDescent="0.2">
      <c r="K352" s="2"/>
      <c r="L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1:33" ht="12.75" x14ac:dyDescent="0.2">
      <c r="K353" s="2"/>
      <c r="L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1:33" ht="12.75" x14ac:dyDescent="0.2">
      <c r="K354" s="2"/>
      <c r="L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1:33" ht="12.75" x14ac:dyDescent="0.2">
      <c r="K355" s="2"/>
      <c r="L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1:33" ht="12.75" x14ac:dyDescent="0.2">
      <c r="K356" s="2"/>
      <c r="L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1:33" ht="12.75" x14ac:dyDescent="0.2">
      <c r="K357" s="2"/>
      <c r="L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1:33" ht="12.75" x14ac:dyDescent="0.2">
      <c r="K358" s="2"/>
      <c r="L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1:33" ht="12.75" x14ac:dyDescent="0.2">
      <c r="K359" s="2"/>
      <c r="L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1:33" ht="12.75" x14ac:dyDescent="0.2">
      <c r="K360" s="2"/>
      <c r="L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1:33" ht="12.75" x14ac:dyDescent="0.2">
      <c r="K361" s="2"/>
      <c r="L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1:33" ht="12.75" x14ac:dyDescent="0.2">
      <c r="K362" s="2"/>
      <c r="L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1:33" ht="12.75" x14ac:dyDescent="0.2">
      <c r="K363" s="2"/>
      <c r="L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1:33" ht="12.75" x14ac:dyDescent="0.2">
      <c r="K364" s="2"/>
      <c r="L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1:33" ht="12.75" x14ac:dyDescent="0.2">
      <c r="K365" s="2"/>
      <c r="L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1:33" ht="12.75" x14ac:dyDescent="0.2">
      <c r="K366" s="2"/>
      <c r="L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1:33" ht="12.75" x14ac:dyDescent="0.2">
      <c r="K367" s="2"/>
      <c r="L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1:33" ht="12.75" x14ac:dyDescent="0.2">
      <c r="K368" s="2"/>
      <c r="L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1:33" ht="12.75" x14ac:dyDescent="0.2">
      <c r="K369" s="2"/>
      <c r="L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1:33" ht="12.75" x14ac:dyDescent="0.2">
      <c r="K370" s="2"/>
      <c r="L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1:33" ht="12.75" x14ac:dyDescent="0.2">
      <c r="K371" s="2"/>
      <c r="L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1:33" ht="12.75" x14ac:dyDescent="0.2">
      <c r="K372" s="2"/>
      <c r="L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1:33" ht="12.75" x14ac:dyDescent="0.2">
      <c r="K373" s="2"/>
      <c r="L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1:33" ht="12.75" x14ac:dyDescent="0.2">
      <c r="K374" s="2"/>
      <c r="L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1:33" ht="12.75" x14ac:dyDescent="0.2">
      <c r="K375" s="2"/>
      <c r="L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1:33" ht="12.75" x14ac:dyDescent="0.2">
      <c r="K376" s="2"/>
      <c r="L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1:33" ht="12.75" x14ac:dyDescent="0.2">
      <c r="K377" s="2"/>
      <c r="L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1:33" ht="12.75" x14ac:dyDescent="0.2">
      <c r="K378" s="2"/>
      <c r="L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1:33" ht="12.75" x14ac:dyDescent="0.2">
      <c r="K379" s="2"/>
      <c r="L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1:33" ht="12.75" x14ac:dyDescent="0.2">
      <c r="K380" s="2"/>
      <c r="L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1:33" ht="12.75" x14ac:dyDescent="0.2">
      <c r="K381" s="2"/>
      <c r="L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1:33" ht="12.75" x14ac:dyDescent="0.2">
      <c r="K382" s="2"/>
      <c r="L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1:33" ht="12.75" x14ac:dyDescent="0.2">
      <c r="K383" s="2"/>
      <c r="L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1:33" ht="12.75" x14ac:dyDescent="0.2">
      <c r="K384" s="2"/>
      <c r="L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1:33" ht="12.75" x14ac:dyDescent="0.2">
      <c r="K385" s="2"/>
      <c r="L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1:33" ht="12.75" x14ac:dyDescent="0.2">
      <c r="K386" s="2"/>
      <c r="L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1:33" ht="12.75" x14ac:dyDescent="0.2">
      <c r="K387" s="2"/>
      <c r="L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1:33" ht="12.75" x14ac:dyDescent="0.2">
      <c r="K388" s="2"/>
      <c r="L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1:33" ht="12.75" x14ac:dyDescent="0.2">
      <c r="K389" s="2"/>
      <c r="L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1:33" ht="12.75" x14ac:dyDescent="0.2">
      <c r="K390" s="2"/>
      <c r="L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1:33" ht="12.75" x14ac:dyDescent="0.2">
      <c r="K391" s="2"/>
      <c r="L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1:33" ht="12.75" x14ac:dyDescent="0.2">
      <c r="K392" s="2"/>
      <c r="L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1:33" ht="12.75" x14ac:dyDescent="0.2">
      <c r="K393" s="2"/>
      <c r="L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1:33" ht="12.75" x14ac:dyDescent="0.2">
      <c r="K394" s="2"/>
      <c r="L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1:33" ht="12.75" x14ac:dyDescent="0.2">
      <c r="K395" s="2"/>
      <c r="L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1:33" ht="12.75" x14ac:dyDescent="0.2">
      <c r="K396" s="2"/>
      <c r="L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1:33" ht="12.75" x14ac:dyDescent="0.2">
      <c r="K397" s="2"/>
      <c r="L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1:33" ht="12.75" x14ac:dyDescent="0.2">
      <c r="K398" s="2"/>
      <c r="L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1:33" ht="12.75" x14ac:dyDescent="0.2">
      <c r="K399" s="2"/>
      <c r="L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1:33" ht="12.75" x14ac:dyDescent="0.2">
      <c r="K400" s="2"/>
      <c r="L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1:33" ht="12.75" x14ac:dyDescent="0.2">
      <c r="K401" s="2"/>
      <c r="L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1:33" ht="12.75" x14ac:dyDescent="0.2">
      <c r="K402" s="2"/>
      <c r="L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1:33" ht="12.75" x14ac:dyDescent="0.2">
      <c r="K403" s="2"/>
      <c r="L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1:33" ht="12.75" x14ac:dyDescent="0.2">
      <c r="K404" s="2"/>
      <c r="L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1:33" ht="12.75" x14ac:dyDescent="0.2">
      <c r="K405" s="2"/>
      <c r="L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1:33" ht="12.75" x14ac:dyDescent="0.2">
      <c r="K406" s="2"/>
      <c r="L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1:33" ht="12.75" x14ac:dyDescent="0.2">
      <c r="K407" s="2"/>
      <c r="L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1:33" ht="12.75" x14ac:dyDescent="0.2">
      <c r="K408" s="2"/>
      <c r="L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1:33" ht="12.75" x14ac:dyDescent="0.2">
      <c r="K409" s="2"/>
      <c r="L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1:33" ht="12.75" x14ac:dyDescent="0.2">
      <c r="K410" s="2"/>
      <c r="L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1:33" ht="12.75" x14ac:dyDescent="0.2">
      <c r="K411" s="2"/>
      <c r="L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1:33" ht="12.75" x14ac:dyDescent="0.2">
      <c r="K412" s="2"/>
      <c r="L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1:33" ht="12.75" x14ac:dyDescent="0.2">
      <c r="K413" s="2"/>
      <c r="L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1:33" ht="12.75" x14ac:dyDescent="0.2">
      <c r="K414" s="2"/>
      <c r="L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1:33" ht="12.75" x14ac:dyDescent="0.2">
      <c r="K415" s="2"/>
      <c r="L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1:33" ht="12.75" x14ac:dyDescent="0.2">
      <c r="K416" s="2"/>
      <c r="L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1:33" ht="12.75" x14ac:dyDescent="0.2">
      <c r="K417" s="2"/>
      <c r="L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1:33" ht="12.75" x14ac:dyDescent="0.2">
      <c r="K418" s="2"/>
      <c r="L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1:33" ht="12.75" x14ac:dyDescent="0.2">
      <c r="K419" s="2"/>
      <c r="L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1:33" ht="12.75" x14ac:dyDescent="0.2">
      <c r="K420" s="2"/>
      <c r="L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1:33" ht="12.75" x14ac:dyDescent="0.2">
      <c r="K421" s="2"/>
      <c r="L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1:33" ht="12.75" x14ac:dyDescent="0.2">
      <c r="K422" s="2"/>
      <c r="L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1:33" ht="12.75" x14ac:dyDescent="0.2">
      <c r="K423" s="2"/>
      <c r="L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1:33" ht="12.75" x14ac:dyDescent="0.2">
      <c r="K424" s="2"/>
      <c r="L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1:33" ht="12.75" x14ac:dyDescent="0.2">
      <c r="K425" s="2"/>
      <c r="L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1:33" ht="12.75" x14ac:dyDescent="0.2">
      <c r="K426" s="2"/>
      <c r="L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1:33" ht="12.75" x14ac:dyDescent="0.2">
      <c r="K427" s="2"/>
      <c r="L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1:33" ht="12.75" x14ac:dyDescent="0.2">
      <c r="K428" s="2"/>
      <c r="L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1:33" ht="12.75" x14ac:dyDescent="0.2">
      <c r="K429" s="2"/>
      <c r="L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1:33" ht="12.75" x14ac:dyDescent="0.2">
      <c r="K430" s="2"/>
      <c r="L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1:33" ht="12.75" x14ac:dyDescent="0.2">
      <c r="K431" s="2"/>
      <c r="L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1:33" ht="12.75" x14ac:dyDescent="0.2">
      <c r="K432" s="2"/>
      <c r="L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1:33" ht="12.75" x14ac:dyDescent="0.2">
      <c r="K433" s="2"/>
      <c r="L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1:33" ht="12.75" x14ac:dyDescent="0.2">
      <c r="K434" s="2"/>
      <c r="L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1:33" ht="12.75" x14ac:dyDescent="0.2">
      <c r="K435" s="2"/>
      <c r="L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1:33" ht="12.75" x14ac:dyDescent="0.2">
      <c r="K436" s="2"/>
      <c r="L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1:33" ht="12.75" x14ac:dyDescent="0.2">
      <c r="K437" s="2"/>
      <c r="L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1:33" ht="12.75" x14ac:dyDescent="0.2">
      <c r="K438" s="2"/>
      <c r="L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1:33" ht="12.75" x14ac:dyDescent="0.2">
      <c r="K439" s="2"/>
      <c r="L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1:33" ht="12.75" x14ac:dyDescent="0.2">
      <c r="K440" s="2"/>
      <c r="L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1:33" ht="12.75" x14ac:dyDescent="0.2">
      <c r="K441" s="2"/>
      <c r="L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1:33" ht="12.75" x14ac:dyDescent="0.2">
      <c r="K442" s="2"/>
      <c r="L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1:33" ht="12.75" x14ac:dyDescent="0.2">
      <c r="K443" s="2"/>
      <c r="L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1:33" ht="12.75" x14ac:dyDescent="0.2">
      <c r="K444" s="2"/>
      <c r="L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1:33" ht="12.75" x14ac:dyDescent="0.2">
      <c r="K445" s="2"/>
      <c r="L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1:33" ht="12.75" x14ac:dyDescent="0.2">
      <c r="K446" s="2"/>
      <c r="L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1:33" ht="12.75" x14ac:dyDescent="0.2">
      <c r="K447" s="2"/>
      <c r="L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1:33" ht="12.75" x14ac:dyDescent="0.2">
      <c r="K448" s="2"/>
      <c r="L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1:33" ht="12.75" x14ac:dyDescent="0.2">
      <c r="K449" s="2"/>
      <c r="L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1:33" ht="12.75" x14ac:dyDescent="0.2">
      <c r="K450" s="2"/>
      <c r="L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1:33" ht="12.75" x14ac:dyDescent="0.2">
      <c r="K451" s="2"/>
      <c r="L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1:33" ht="12.75" x14ac:dyDescent="0.2">
      <c r="K452" s="2"/>
      <c r="L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1:33" ht="12.75" x14ac:dyDescent="0.2">
      <c r="K453" s="2"/>
      <c r="L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1:33" ht="12.75" x14ac:dyDescent="0.2">
      <c r="K454" s="2"/>
      <c r="L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1:33" ht="12.75" x14ac:dyDescent="0.2">
      <c r="K455" s="2"/>
      <c r="L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1:33" ht="12.75" x14ac:dyDescent="0.2">
      <c r="K456" s="2"/>
      <c r="L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1:33" ht="12.75" x14ac:dyDescent="0.2">
      <c r="K457" s="2"/>
      <c r="L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1:33" ht="12.75" x14ac:dyDescent="0.2">
      <c r="K458" s="2"/>
      <c r="L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1:33" ht="12.75" x14ac:dyDescent="0.2">
      <c r="K459" s="2"/>
      <c r="L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1:33" ht="12.75" x14ac:dyDescent="0.2">
      <c r="K460" s="2"/>
      <c r="L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1:33" ht="12.75" x14ac:dyDescent="0.2">
      <c r="K461" s="2"/>
      <c r="L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1:33" ht="12.75" x14ac:dyDescent="0.2">
      <c r="K462" s="2"/>
      <c r="L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1:33" ht="12.75" x14ac:dyDescent="0.2">
      <c r="K463" s="2"/>
      <c r="L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1:33" ht="12.75" x14ac:dyDescent="0.2">
      <c r="K464" s="2"/>
      <c r="L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1:33" ht="12.75" x14ac:dyDescent="0.2">
      <c r="K465" s="2"/>
      <c r="L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1:33" ht="12.75" x14ac:dyDescent="0.2">
      <c r="K466" s="2"/>
      <c r="L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1:33" ht="12.75" x14ac:dyDescent="0.2">
      <c r="K467" s="2"/>
      <c r="L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1:33" ht="12.75" x14ac:dyDescent="0.2">
      <c r="K468" s="2"/>
      <c r="L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1:33" ht="12.75" x14ac:dyDescent="0.2">
      <c r="K469" s="2"/>
      <c r="L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1:33" ht="12.75" x14ac:dyDescent="0.2">
      <c r="K470" s="2"/>
      <c r="L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1:33" ht="12.75" x14ac:dyDescent="0.2">
      <c r="K471" s="2"/>
      <c r="L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1:33" ht="12.75" x14ac:dyDescent="0.2">
      <c r="K472" s="2"/>
      <c r="L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1:33" ht="12.75" x14ac:dyDescent="0.2">
      <c r="K473" s="2"/>
      <c r="L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1:33" ht="12.75" x14ac:dyDescent="0.2">
      <c r="K474" s="2"/>
      <c r="L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1:33" ht="12.75" x14ac:dyDescent="0.2">
      <c r="K475" s="2"/>
      <c r="L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1:33" ht="12.75" x14ac:dyDescent="0.2">
      <c r="K476" s="2"/>
      <c r="L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1:33" ht="12.75" x14ac:dyDescent="0.2">
      <c r="K477" s="2"/>
      <c r="L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1:33" ht="12.75" x14ac:dyDescent="0.2">
      <c r="K478" s="2"/>
      <c r="L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1:33" ht="12.75" x14ac:dyDescent="0.2">
      <c r="K479" s="2"/>
      <c r="L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1:33" ht="12.75" x14ac:dyDescent="0.2">
      <c r="K480" s="2"/>
      <c r="L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1:33" ht="12.75" x14ac:dyDescent="0.2">
      <c r="K481" s="2"/>
      <c r="L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1:33" ht="12.75" x14ac:dyDescent="0.2">
      <c r="K482" s="2"/>
      <c r="L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1:33" ht="12.75" x14ac:dyDescent="0.2">
      <c r="K483" s="2"/>
      <c r="L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1:33" ht="12.75" x14ac:dyDescent="0.2">
      <c r="K484" s="2"/>
      <c r="L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1:33" ht="12.75" x14ac:dyDescent="0.2">
      <c r="K485" s="2"/>
      <c r="L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1:33" ht="12.75" x14ac:dyDescent="0.2">
      <c r="K486" s="2"/>
      <c r="L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1:33" ht="12.75" x14ac:dyDescent="0.2">
      <c r="K487" s="2"/>
      <c r="L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1:33" ht="12.75" x14ac:dyDescent="0.2">
      <c r="K488" s="2"/>
      <c r="L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1:33" ht="12.75" x14ac:dyDescent="0.2">
      <c r="K489" s="2"/>
      <c r="L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1:33" ht="12.75" x14ac:dyDescent="0.2">
      <c r="K490" s="2"/>
      <c r="L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1:33" ht="12.75" x14ac:dyDescent="0.2">
      <c r="K491" s="2"/>
      <c r="L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1:33" ht="12.75" x14ac:dyDescent="0.2">
      <c r="K492" s="2"/>
      <c r="L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1:33" ht="12.75" x14ac:dyDescent="0.2">
      <c r="K493" s="2"/>
      <c r="L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1:33" ht="12.75" x14ac:dyDescent="0.2">
      <c r="K494" s="2"/>
      <c r="L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1:33" ht="12.75" x14ac:dyDescent="0.2">
      <c r="K495" s="2"/>
      <c r="L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1:33" ht="12.75" x14ac:dyDescent="0.2">
      <c r="K496" s="2"/>
      <c r="L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1:33" ht="12.75" x14ac:dyDescent="0.2">
      <c r="K497" s="2"/>
      <c r="L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1:33" ht="12.75" x14ac:dyDescent="0.2">
      <c r="K498" s="2"/>
      <c r="L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1:33" ht="12.75" x14ac:dyDescent="0.2">
      <c r="K499" s="2"/>
      <c r="L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1:33" ht="12.75" x14ac:dyDescent="0.2">
      <c r="K500" s="2"/>
      <c r="L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1:33" ht="12.75" x14ac:dyDescent="0.2">
      <c r="K501" s="2"/>
      <c r="L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1:33" ht="12.75" x14ac:dyDescent="0.2">
      <c r="K502" s="2"/>
      <c r="L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1:33" ht="12.75" x14ac:dyDescent="0.2">
      <c r="K503" s="2"/>
      <c r="L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1:33" ht="12.75" x14ac:dyDescent="0.2">
      <c r="K504" s="2"/>
      <c r="L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1:33" ht="12.75" x14ac:dyDescent="0.2">
      <c r="K505" s="2"/>
      <c r="L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1:33" ht="12.75" x14ac:dyDescent="0.2">
      <c r="K506" s="2"/>
      <c r="L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1:33" ht="12.75" x14ac:dyDescent="0.2">
      <c r="K507" s="2"/>
      <c r="L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1:33" ht="12.75" x14ac:dyDescent="0.2">
      <c r="K508" s="2"/>
      <c r="L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1:33" ht="12.75" x14ac:dyDescent="0.2">
      <c r="K509" s="2"/>
      <c r="L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1:33" ht="12.75" x14ac:dyDescent="0.2">
      <c r="K510" s="2"/>
      <c r="L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1:33" ht="12.75" x14ac:dyDescent="0.2">
      <c r="K511" s="2"/>
      <c r="L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1:33" ht="12.75" x14ac:dyDescent="0.2">
      <c r="K512" s="2"/>
      <c r="L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1:33" ht="12.75" x14ac:dyDescent="0.2">
      <c r="K513" s="2"/>
      <c r="L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1:33" ht="12.75" x14ac:dyDescent="0.2">
      <c r="K514" s="2"/>
      <c r="L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1:33" ht="12.75" x14ac:dyDescent="0.2">
      <c r="K515" s="2"/>
      <c r="L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1:33" ht="12.75" x14ac:dyDescent="0.2">
      <c r="K516" s="2"/>
      <c r="L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1:33" ht="12.75" x14ac:dyDescent="0.2">
      <c r="K517" s="2"/>
      <c r="L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1:33" ht="12.75" x14ac:dyDescent="0.2">
      <c r="K518" s="2"/>
      <c r="L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1:33" ht="12.75" x14ac:dyDescent="0.2">
      <c r="K519" s="2"/>
      <c r="L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1:33" ht="12.75" x14ac:dyDescent="0.2">
      <c r="K520" s="2"/>
      <c r="L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1:33" ht="12.75" x14ac:dyDescent="0.2">
      <c r="K521" s="2"/>
      <c r="L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1:33" ht="12.75" x14ac:dyDescent="0.2">
      <c r="K522" s="2"/>
      <c r="L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1:33" ht="12.75" x14ac:dyDescent="0.2">
      <c r="K523" s="2"/>
      <c r="L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1:33" ht="12.75" x14ac:dyDescent="0.2">
      <c r="K524" s="2"/>
      <c r="L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1:33" ht="12.75" x14ac:dyDescent="0.2">
      <c r="K525" s="2"/>
      <c r="L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1:33" ht="12.75" x14ac:dyDescent="0.2">
      <c r="K526" s="2"/>
      <c r="L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1:33" ht="12.75" x14ac:dyDescent="0.2">
      <c r="K527" s="2"/>
      <c r="L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1:33" ht="12.75" x14ac:dyDescent="0.2">
      <c r="K528" s="2"/>
      <c r="L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1:33" ht="12.75" x14ac:dyDescent="0.2">
      <c r="K529" s="2"/>
      <c r="L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1:33" ht="12.75" x14ac:dyDescent="0.2">
      <c r="K530" s="2"/>
      <c r="L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1:33" ht="12.75" x14ac:dyDescent="0.2">
      <c r="K531" s="2"/>
      <c r="L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1:33" ht="12.75" x14ac:dyDescent="0.2">
      <c r="K532" s="2"/>
      <c r="L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1:33" ht="12.75" x14ac:dyDescent="0.2">
      <c r="K533" s="2"/>
      <c r="L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1:33" ht="12.75" x14ac:dyDescent="0.2">
      <c r="K534" s="2"/>
      <c r="L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1:33" ht="12.75" x14ac:dyDescent="0.2">
      <c r="K535" s="2"/>
      <c r="L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1:33" ht="12.75" x14ac:dyDescent="0.2">
      <c r="K536" s="2"/>
      <c r="L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1:33" ht="12.75" x14ac:dyDescent="0.2">
      <c r="K537" s="2"/>
      <c r="L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1:33" ht="12.75" x14ac:dyDescent="0.2">
      <c r="K538" s="2"/>
      <c r="L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1:33" ht="12.75" x14ac:dyDescent="0.2">
      <c r="K539" s="2"/>
      <c r="L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1:33" ht="12.75" x14ac:dyDescent="0.2">
      <c r="K540" s="2"/>
      <c r="L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1:33" ht="12.75" x14ac:dyDescent="0.2">
      <c r="K541" s="2"/>
      <c r="L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1:33" ht="12.75" x14ac:dyDescent="0.2">
      <c r="K542" s="2"/>
      <c r="L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1:33" ht="12.75" x14ac:dyDescent="0.2">
      <c r="K543" s="2"/>
      <c r="L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1:33" ht="12.75" x14ac:dyDescent="0.2">
      <c r="K544" s="2"/>
      <c r="L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1:33" ht="12.75" x14ac:dyDescent="0.2">
      <c r="K545" s="2"/>
      <c r="L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1:33" ht="12.75" x14ac:dyDescent="0.2">
      <c r="K546" s="2"/>
      <c r="L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1:33" ht="12.75" x14ac:dyDescent="0.2">
      <c r="K547" s="2"/>
      <c r="L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1:33" ht="12.75" x14ac:dyDescent="0.2">
      <c r="K548" s="2"/>
      <c r="L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1:33" ht="12.75" x14ac:dyDescent="0.2">
      <c r="K549" s="2"/>
      <c r="L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1:33" ht="12.75" x14ac:dyDescent="0.2">
      <c r="K550" s="2"/>
      <c r="L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1:33" ht="12.75" x14ac:dyDescent="0.2">
      <c r="K551" s="2"/>
      <c r="L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1:33" ht="12.75" x14ac:dyDescent="0.2">
      <c r="K552" s="2"/>
      <c r="L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1:33" ht="12.75" x14ac:dyDescent="0.2">
      <c r="K553" s="2"/>
      <c r="L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1:33" ht="12.75" x14ac:dyDescent="0.2">
      <c r="K554" s="2"/>
      <c r="L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1:33" ht="12.75" x14ac:dyDescent="0.2">
      <c r="K555" s="2"/>
      <c r="L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1:33" ht="12.75" x14ac:dyDescent="0.2">
      <c r="K556" s="2"/>
      <c r="L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1:33" ht="12.75" x14ac:dyDescent="0.2">
      <c r="K557" s="2"/>
      <c r="L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1:33" ht="12.75" x14ac:dyDescent="0.2">
      <c r="K558" s="2"/>
      <c r="L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1:33" ht="12.75" x14ac:dyDescent="0.2">
      <c r="K559" s="2"/>
      <c r="L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1:33" ht="12.75" x14ac:dyDescent="0.2">
      <c r="K560" s="2"/>
      <c r="L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1:33" ht="12.75" x14ac:dyDescent="0.2">
      <c r="K561" s="2"/>
      <c r="L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1:33" ht="12.75" x14ac:dyDescent="0.2">
      <c r="K562" s="2"/>
      <c r="L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1:33" ht="12.75" x14ac:dyDescent="0.2">
      <c r="K563" s="2"/>
      <c r="L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1:33" ht="12.75" x14ac:dyDescent="0.2">
      <c r="K564" s="2"/>
      <c r="L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1:33" ht="12.75" x14ac:dyDescent="0.2">
      <c r="K565" s="2"/>
      <c r="L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1:33" ht="12.75" x14ac:dyDescent="0.2">
      <c r="K566" s="2"/>
      <c r="L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1:33" ht="12.75" x14ac:dyDescent="0.2">
      <c r="K567" s="2"/>
      <c r="L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1:33" ht="12.75" x14ac:dyDescent="0.2">
      <c r="K568" s="2"/>
      <c r="L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1:33" ht="12.75" x14ac:dyDescent="0.2">
      <c r="K569" s="2"/>
      <c r="L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1:33" ht="12.75" x14ac:dyDescent="0.2">
      <c r="K570" s="2"/>
      <c r="L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1:33" ht="12.75" x14ac:dyDescent="0.2">
      <c r="K571" s="2"/>
      <c r="L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1:33" ht="12.75" x14ac:dyDescent="0.2">
      <c r="K572" s="2"/>
      <c r="L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1:33" ht="12.75" x14ac:dyDescent="0.2">
      <c r="K573" s="2"/>
      <c r="L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1:33" ht="12.75" x14ac:dyDescent="0.2">
      <c r="K574" s="2"/>
      <c r="L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1:33" ht="12.75" x14ac:dyDescent="0.2">
      <c r="K575" s="2"/>
      <c r="L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1:33" ht="12.75" x14ac:dyDescent="0.2">
      <c r="K576" s="2"/>
      <c r="L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1:33" ht="12.75" x14ac:dyDescent="0.2">
      <c r="K577" s="2"/>
      <c r="L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1:33" ht="12.75" x14ac:dyDescent="0.2">
      <c r="K578" s="2"/>
      <c r="L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1:33" ht="12.75" x14ac:dyDescent="0.2">
      <c r="K579" s="2"/>
      <c r="L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1:33" ht="12.75" x14ac:dyDescent="0.2">
      <c r="K580" s="2"/>
      <c r="L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1:33" ht="12.75" x14ac:dyDescent="0.2">
      <c r="K581" s="2"/>
      <c r="L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1:33" ht="12.75" x14ac:dyDescent="0.2">
      <c r="K582" s="2"/>
      <c r="L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1:33" ht="12.75" x14ac:dyDescent="0.2">
      <c r="K583" s="2"/>
      <c r="L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1:33" ht="12.75" x14ac:dyDescent="0.2">
      <c r="K584" s="2"/>
      <c r="L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1:33" ht="12.75" x14ac:dyDescent="0.2">
      <c r="K585" s="2"/>
      <c r="L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1:33" ht="12.75" x14ac:dyDescent="0.2">
      <c r="K586" s="2"/>
      <c r="L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1:33" ht="12.75" x14ac:dyDescent="0.2">
      <c r="K587" s="2"/>
      <c r="L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1:33" ht="12.75" x14ac:dyDescent="0.2">
      <c r="K588" s="2"/>
      <c r="L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1:33" ht="12.75" x14ac:dyDescent="0.2">
      <c r="K589" s="2"/>
      <c r="L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1:33" ht="12.75" x14ac:dyDescent="0.2">
      <c r="K590" s="2"/>
      <c r="L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1:33" ht="12.75" x14ac:dyDescent="0.2">
      <c r="K591" s="2"/>
      <c r="L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1:33" ht="12.75" x14ac:dyDescent="0.2">
      <c r="K592" s="2"/>
      <c r="L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1:33" ht="12.75" x14ac:dyDescent="0.2">
      <c r="K593" s="2"/>
      <c r="L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1:33" ht="12.75" x14ac:dyDescent="0.2">
      <c r="K594" s="2"/>
      <c r="L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1:33" ht="12.75" x14ac:dyDescent="0.2">
      <c r="K595" s="2"/>
      <c r="L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1:33" ht="12.75" x14ac:dyDescent="0.2">
      <c r="K596" s="2"/>
      <c r="L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1:33" ht="12.75" x14ac:dyDescent="0.2">
      <c r="K597" s="2"/>
      <c r="L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1:33" ht="12.75" x14ac:dyDescent="0.2">
      <c r="K598" s="2"/>
      <c r="L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1:33" ht="12.75" x14ac:dyDescent="0.2">
      <c r="K599" s="2"/>
      <c r="L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1:33" ht="12.75" x14ac:dyDescent="0.2">
      <c r="K600" s="2"/>
      <c r="L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1:33" ht="12.75" x14ac:dyDescent="0.2">
      <c r="K601" s="2"/>
      <c r="L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1:33" ht="12.75" x14ac:dyDescent="0.2">
      <c r="K602" s="2"/>
      <c r="L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1:33" ht="12.75" x14ac:dyDescent="0.2">
      <c r="K603" s="2"/>
      <c r="L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1:33" ht="12.75" x14ac:dyDescent="0.2">
      <c r="K604" s="2"/>
      <c r="L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1:33" ht="12.75" x14ac:dyDescent="0.2">
      <c r="K605" s="2"/>
      <c r="L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1:33" ht="12.75" x14ac:dyDescent="0.2">
      <c r="K606" s="2"/>
      <c r="L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1:33" ht="12.75" x14ac:dyDescent="0.2">
      <c r="K607" s="2"/>
      <c r="L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1:33" ht="12.75" x14ac:dyDescent="0.2">
      <c r="K608" s="2"/>
      <c r="L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1:33" ht="12.75" x14ac:dyDescent="0.2">
      <c r="K609" s="2"/>
      <c r="L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1:33" ht="12.75" x14ac:dyDescent="0.2">
      <c r="K610" s="2"/>
      <c r="L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1:33" ht="12.75" x14ac:dyDescent="0.2">
      <c r="K611" s="2"/>
      <c r="L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1:33" ht="12.75" x14ac:dyDescent="0.2">
      <c r="K612" s="2"/>
      <c r="L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1:33" ht="12.75" x14ac:dyDescent="0.2">
      <c r="K613" s="2"/>
      <c r="L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1:33" ht="12.75" x14ac:dyDescent="0.2">
      <c r="K614" s="2"/>
      <c r="L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1:33" ht="12.75" x14ac:dyDescent="0.2">
      <c r="K615" s="2"/>
      <c r="L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1:33" ht="12.75" x14ac:dyDescent="0.2">
      <c r="K616" s="2"/>
      <c r="L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1:33" ht="12.75" x14ac:dyDescent="0.2">
      <c r="K617" s="2"/>
      <c r="L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1:33" ht="12.75" x14ac:dyDescent="0.2">
      <c r="K618" s="2"/>
      <c r="L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1:33" ht="12.75" x14ac:dyDescent="0.2">
      <c r="K619" s="2"/>
      <c r="L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1:33" ht="12.75" x14ac:dyDescent="0.2">
      <c r="K620" s="2"/>
      <c r="L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1:33" ht="12.75" x14ac:dyDescent="0.2">
      <c r="K621" s="2"/>
      <c r="L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1:33" ht="12.75" x14ac:dyDescent="0.2">
      <c r="K622" s="2"/>
      <c r="L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1:33" ht="12.75" x14ac:dyDescent="0.2">
      <c r="K623" s="2"/>
      <c r="L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1:33" ht="12.75" x14ac:dyDescent="0.2">
      <c r="K624" s="2"/>
      <c r="L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1:33" ht="12.75" x14ac:dyDescent="0.2">
      <c r="K625" s="2"/>
      <c r="L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1:33" ht="12.75" x14ac:dyDescent="0.2">
      <c r="K626" s="2"/>
      <c r="L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1:33" ht="12.75" x14ac:dyDescent="0.2">
      <c r="K627" s="2"/>
      <c r="L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1:33" ht="12.75" x14ac:dyDescent="0.2">
      <c r="K628" s="2"/>
      <c r="L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1:33" ht="12.75" x14ac:dyDescent="0.2">
      <c r="K629" s="2"/>
      <c r="L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1:33" ht="12.75" x14ac:dyDescent="0.2">
      <c r="K630" s="2"/>
      <c r="L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1:33" ht="12.75" x14ac:dyDescent="0.2">
      <c r="K631" s="2"/>
      <c r="L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1:33" ht="12.75" x14ac:dyDescent="0.2">
      <c r="K632" s="2"/>
      <c r="L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1:33" ht="12.75" x14ac:dyDescent="0.2">
      <c r="K633" s="2"/>
      <c r="L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1:33" ht="12.75" x14ac:dyDescent="0.2">
      <c r="K634" s="2"/>
      <c r="L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1:33" ht="12.75" x14ac:dyDescent="0.2">
      <c r="K635" s="2"/>
      <c r="L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1:33" ht="12.75" x14ac:dyDescent="0.2">
      <c r="K636" s="2"/>
      <c r="L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1:33" ht="12.75" x14ac:dyDescent="0.2">
      <c r="K637" s="2"/>
      <c r="L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1:33" ht="12.75" x14ac:dyDescent="0.2">
      <c r="K638" s="2"/>
      <c r="L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1:33" ht="12.75" x14ac:dyDescent="0.2">
      <c r="K639" s="2"/>
      <c r="L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1:33" ht="12.75" x14ac:dyDescent="0.2">
      <c r="K640" s="2"/>
      <c r="L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1:33" ht="12.75" x14ac:dyDescent="0.2">
      <c r="K641" s="2"/>
      <c r="L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1:33" ht="12.75" x14ac:dyDescent="0.2">
      <c r="K642" s="2"/>
      <c r="L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1:33" ht="12.75" x14ac:dyDescent="0.2">
      <c r="K643" s="2"/>
      <c r="L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1:33" ht="12.75" x14ac:dyDescent="0.2">
      <c r="K644" s="2"/>
      <c r="L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1:33" ht="12.75" x14ac:dyDescent="0.2">
      <c r="K645" s="2"/>
      <c r="L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1:33" ht="12.75" x14ac:dyDescent="0.2">
      <c r="K646" s="2"/>
      <c r="L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1:33" ht="12.75" x14ac:dyDescent="0.2">
      <c r="K647" s="2"/>
      <c r="L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1:33" ht="12.75" x14ac:dyDescent="0.2">
      <c r="K648" s="2"/>
      <c r="L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1:33" ht="12.75" x14ac:dyDescent="0.2">
      <c r="K649" s="2"/>
      <c r="L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1:33" ht="12.75" x14ac:dyDescent="0.2">
      <c r="K650" s="2"/>
      <c r="L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1:33" ht="12.75" x14ac:dyDescent="0.2">
      <c r="K651" s="2"/>
      <c r="L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1:33" ht="12.75" x14ac:dyDescent="0.2">
      <c r="K652" s="2"/>
      <c r="L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1:33" ht="12.75" x14ac:dyDescent="0.2">
      <c r="K653" s="2"/>
      <c r="L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1:33" ht="12.75" x14ac:dyDescent="0.2">
      <c r="K654" s="2"/>
      <c r="L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1:33" ht="12.75" x14ac:dyDescent="0.2">
      <c r="K655" s="2"/>
      <c r="L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1:33" ht="12.75" x14ac:dyDescent="0.2">
      <c r="K656" s="2"/>
      <c r="L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1:33" ht="12.75" x14ac:dyDescent="0.2">
      <c r="K657" s="2"/>
      <c r="L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1:33" ht="12.75" x14ac:dyDescent="0.2">
      <c r="K658" s="2"/>
      <c r="L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1:33" ht="12.75" x14ac:dyDescent="0.2">
      <c r="K659" s="2"/>
      <c r="L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1:33" ht="12.75" x14ac:dyDescent="0.2">
      <c r="K660" s="2"/>
      <c r="L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1:33" ht="12.75" x14ac:dyDescent="0.2">
      <c r="K661" s="2"/>
      <c r="L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1:33" ht="12.75" x14ac:dyDescent="0.2">
      <c r="K662" s="2"/>
      <c r="L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1:33" ht="12.75" x14ac:dyDescent="0.2">
      <c r="K663" s="2"/>
      <c r="L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1:33" ht="12.75" x14ac:dyDescent="0.2">
      <c r="K664" s="2"/>
      <c r="L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1:33" ht="12.75" x14ac:dyDescent="0.2">
      <c r="K665" s="2"/>
      <c r="L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1:33" ht="12.75" x14ac:dyDescent="0.2">
      <c r="K666" s="2"/>
      <c r="L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1:33" ht="12.75" x14ac:dyDescent="0.2">
      <c r="K667" s="2"/>
      <c r="L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1:33" ht="12.75" x14ac:dyDescent="0.2">
      <c r="K668" s="2"/>
      <c r="L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1:33" ht="12.75" x14ac:dyDescent="0.2">
      <c r="K669" s="2"/>
      <c r="L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1:33" ht="12.75" x14ac:dyDescent="0.2">
      <c r="K670" s="2"/>
      <c r="L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1:33" ht="12.75" x14ac:dyDescent="0.2">
      <c r="K671" s="2"/>
      <c r="L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1:33" ht="12.75" x14ac:dyDescent="0.2">
      <c r="K672" s="2"/>
      <c r="L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1:33" ht="12.75" x14ac:dyDescent="0.2">
      <c r="K673" s="2"/>
      <c r="L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1:33" ht="12.75" x14ac:dyDescent="0.2">
      <c r="K674" s="2"/>
      <c r="L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1:33" ht="12.75" x14ac:dyDescent="0.2">
      <c r="K675" s="2"/>
      <c r="L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1:33" ht="12.75" x14ac:dyDescent="0.2">
      <c r="K676" s="2"/>
      <c r="L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1:33" ht="12.75" x14ac:dyDescent="0.2">
      <c r="K677" s="2"/>
      <c r="L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1:33" ht="12.75" x14ac:dyDescent="0.2">
      <c r="K678" s="2"/>
      <c r="L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1:33" ht="12.75" x14ac:dyDescent="0.2">
      <c r="K679" s="2"/>
      <c r="L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1:33" ht="12.75" x14ac:dyDescent="0.2">
      <c r="K680" s="2"/>
      <c r="L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1:33" ht="12.75" x14ac:dyDescent="0.2">
      <c r="K681" s="2"/>
      <c r="L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1:33" ht="12.75" x14ac:dyDescent="0.2">
      <c r="K682" s="2"/>
      <c r="L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1:33" ht="12.75" x14ac:dyDescent="0.2">
      <c r="K683" s="2"/>
      <c r="L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1:33" ht="12.75" x14ac:dyDescent="0.2">
      <c r="K684" s="2"/>
      <c r="L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1:33" ht="12.75" x14ac:dyDescent="0.2">
      <c r="K685" s="2"/>
      <c r="L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1:33" ht="12.75" x14ac:dyDescent="0.2">
      <c r="K686" s="2"/>
      <c r="L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1:33" ht="12.75" x14ac:dyDescent="0.2">
      <c r="K687" s="2"/>
      <c r="L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1:33" ht="12.75" x14ac:dyDescent="0.2">
      <c r="K688" s="2"/>
      <c r="L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1:33" ht="12.75" x14ac:dyDescent="0.2">
      <c r="K689" s="2"/>
      <c r="L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1:33" ht="12.75" x14ac:dyDescent="0.2">
      <c r="K690" s="2"/>
      <c r="L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1:33" ht="12.75" x14ac:dyDescent="0.2">
      <c r="K691" s="2"/>
      <c r="L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1:33" ht="12.75" x14ac:dyDescent="0.2">
      <c r="K692" s="2"/>
      <c r="L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1:33" ht="12.75" x14ac:dyDescent="0.2">
      <c r="K693" s="2"/>
      <c r="L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1:33" ht="12.75" x14ac:dyDescent="0.2">
      <c r="K694" s="2"/>
      <c r="L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1:33" ht="12.75" x14ac:dyDescent="0.2">
      <c r="K695" s="2"/>
      <c r="L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1:33" ht="12.75" x14ac:dyDescent="0.2">
      <c r="K696" s="2"/>
      <c r="L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1:33" ht="12.75" x14ac:dyDescent="0.2">
      <c r="K697" s="2"/>
      <c r="L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1:33" ht="12.75" x14ac:dyDescent="0.2">
      <c r="K698" s="2"/>
      <c r="L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1:33" ht="12.75" x14ac:dyDescent="0.2">
      <c r="K699" s="2"/>
      <c r="L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1:33" ht="12.75" x14ac:dyDescent="0.2">
      <c r="K700" s="2"/>
      <c r="L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1:33" ht="12.75" x14ac:dyDescent="0.2">
      <c r="K701" s="2"/>
      <c r="L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1:33" ht="12.75" x14ac:dyDescent="0.2">
      <c r="K702" s="2"/>
      <c r="L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1:33" ht="12.75" x14ac:dyDescent="0.2">
      <c r="K703" s="2"/>
      <c r="L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1:33" ht="12.75" x14ac:dyDescent="0.2">
      <c r="K704" s="2"/>
      <c r="L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1:33" ht="12.75" x14ac:dyDescent="0.2">
      <c r="K705" s="2"/>
      <c r="L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1:33" ht="12.75" x14ac:dyDescent="0.2">
      <c r="K706" s="2"/>
      <c r="L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1:33" ht="12.75" x14ac:dyDescent="0.2">
      <c r="K707" s="2"/>
      <c r="L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1:33" ht="12.75" x14ac:dyDescent="0.2">
      <c r="K708" s="2"/>
      <c r="L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1:33" ht="12.75" x14ac:dyDescent="0.2">
      <c r="K709" s="2"/>
      <c r="L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1:33" ht="12.75" x14ac:dyDescent="0.2">
      <c r="K710" s="2"/>
      <c r="L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1:33" ht="12.75" x14ac:dyDescent="0.2">
      <c r="K711" s="2"/>
      <c r="L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1:33" ht="12.75" x14ac:dyDescent="0.2">
      <c r="K712" s="2"/>
      <c r="L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1:33" ht="12.75" x14ac:dyDescent="0.2">
      <c r="K713" s="2"/>
      <c r="L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1:33" ht="12.75" x14ac:dyDescent="0.2">
      <c r="K714" s="2"/>
      <c r="L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1:33" ht="12.75" x14ac:dyDescent="0.2">
      <c r="K715" s="2"/>
      <c r="L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1:33" ht="12.75" x14ac:dyDescent="0.2">
      <c r="K716" s="2"/>
      <c r="L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1:33" ht="12.75" x14ac:dyDescent="0.2">
      <c r="K717" s="2"/>
      <c r="L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1:33" ht="12.75" x14ac:dyDescent="0.2">
      <c r="K718" s="2"/>
      <c r="L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1:33" ht="12.75" x14ac:dyDescent="0.2">
      <c r="K719" s="2"/>
      <c r="L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1:33" ht="12.75" x14ac:dyDescent="0.2">
      <c r="K720" s="2"/>
      <c r="L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1:33" ht="12.75" x14ac:dyDescent="0.2">
      <c r="K721" s="2"/>
      <c r="L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1:33" ht="12.75" x14ac:dyDescent="0.2">
      <c r="K722" s="2"/>
      <c r="L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1:33" ht="12.75" x14ac:dyDescent="0.2">
      <c r="K723" s="2"/>
      <c r="L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1:33" ht="12.75" x14ac:dyDescent="0.2">
      <c r="K724" s="2"/>
      <c r="L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1:33" ht="12.75" x14ac:dyDescent="0.2">
      <c r="K725" s="2"/>
      <c r="L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1:33" ht="12.75" x14ac:dyDescent="0.2">
      <c r="K726" s="2"/>
      <c r="L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1:33" ht="12.75" x14ac:dyDescent="0.2">
      <c r="K727" s="2"/>
      <c r="L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1:33" ht="12.75" x14ac:dyDescent="0.2">
      <c r="K728" s="2"/>
      <c r="L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1:33" ht="12.75" x14ac:dyDescent="0.2">
      <c r="K729" s="2"/>
      <c r="L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1:33" ht="12.75" x14ac:dyDescent="0.2">
      <c r="K730" s="2"/>
      <c r="L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1:33" ht="12.75" x14ac:dyDescent="0.2">
      <c r="K731" s="2"/>
      <c r="L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1:33" ht="12.75" x14ac:dyDescent="0.2">
      <c r="K732" s="2"/>
      <c r="L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1:33" ht="12.75" x14ac:dyDescent="0.2">
      <c r="K733" s="2"/>
      <c r="L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1:33" ht="12.75" x14ac:dyDescent="0.2">
      <c r="K734" s="2"/>
      <c r="L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1:33" ht="12.75" x14ac:dyDescent="0.2">
      <c r="K735" s="2"/>
      <c r="L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1:33" ht="12.75" x14ac:dyDescent="0.2">
      <c r="K736" s="2"/>
      <c r="L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1:33" ht="12.75" x14ac:dyDescent="0.2">
      <c r="K737" s="2"/>
      <c r="L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1:33" ht="12.75" x14ac:dyDescent="0.2">
      <c r="K738" s="2"/>
      <c r="L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1:33" ht="12.75" x14ac:dyDescent="0.2">
      <c r="K739" s="2"/>
      <c r="L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1:33" ht="12.75" x14ac:dyDescent="0.2">
      <c r="K740" s="2"/>
      <c r="L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1:33" ht="12.75" x14ac:dyDescent="0.2">
      <c r="K741" s="2"/>
      <c r="L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1:33" ht="12.75" x14ac:dyDescent="0.2">
      <c r="K742" s="2"/>
      <c r="L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1:33" ht="12.75" x14ac:dyDescent="0.2">
      <c r="K743" s="2"/>
      <c r="L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1:33" ht="12.75" x14ac:dyDescent="0.2">
      <c r="K744" s="2"/>
      <c r="L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1:33" ht="12.75" x14ac:dyDescent="0.2">
      <c r="K745" s="2"/>
      <c r="L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1:33" ht="12.75" x14ac:dyDescent="0.2">
      <c r="K746" s="2"/>
      <c r="L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1:33" ht="12.75" x14ac:dyDescent="0.2">
      <c r="K747" s="2"/>
      <c r="L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1:33" ht="12.75" x14ac:dyDescent="0.2">
      <c r="K748" s="2"/>
      <c r="L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1:33" ht="12.75" x14ac:dyDescent="0.2">
      <c r="K749" s="2"/>
      <c r="L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1:33" ht="12.75" x14ac:dyDescent="0.2">
      <c r="K750" s="2"/>
      <c r="L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1:33" ht="12.75" x14ac:dyDescent="0.2">
      <c r="K751" s="2"/>
      <c r="L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1:33" ht="12.75" x14ac:dyDescent="0.2">
      <c r="K752" s="2"/>
      <c r="L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1:33" ht="12.75" x14ac:dyDescent="0.2">
      <c r="K753" s="2"/>
      <c r="L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1:33" ht="12.75" x14ac:dyDescent="0.2">
      <c r="K754" s="2"/>
      <c r="L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1:33" ht="12.75" x14ac:dyDescent="0.2">
      <c r="K755" s="2"/>
      <c r="L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1:33" ht="12.75" x14ac:dyDescent="0.2">
      <c r="K756" s="2"/>
      <c r="L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1:33" ht="12.75" x14ac:dyDescent="0.2">
      <c r="K757" s="2"/>
      <c r="L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1:33" ht="12.75" x14ac:dyDescent="0.2">
      <c r="K758" s="2"/>
      <c r="L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1:33" ht="12.75" x14ac:dyDescent="0.2">
      <c r="K759" s="2"/>
      <c r="L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1:33" ht="12.75" x14ac:dyDescent="0.2">
      <c r="K760" s="2"/>
      <c r="L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1:33" ht="12.75" x14ac:dyDescent="0.2">
      <c r="K761" s="2"/>
      <c r="L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1:33" ht="12.75" x14ac:dyDescent="0.2">
      <c r="K762" s="2"/>
      <c r="L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1:33" ht="12.75" x14ac:dyDescent="0.2">
      <c r="K763" s="2"/>
      <c r="L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1:33" ht="12.75" x14ac:dyDescent="0.2">
      <c r="K764" s="2"/>
      <c r="L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1:33" ht="12.75" x14ac:dyDescent="0.2">
      <c r="K765" s="2"/>
      <c r="L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1:33" ht="12.75" x14ac:dyDescent="0.2">
      <c r="K766" s="2"/>
      <c r="L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1:33" ht="12.75" x14ac:dyDescent="0.2">
      <c r="K767" s="2"/>
      <c r="L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1:33" ht="12.75" x14ac:dyDescent="0.2">
      <c r="K768" s="2"/>
      <c r="L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1:33" ht="12.75" x14ac:dyDescent="0.2">
      <c r="K769" s="2"/>
      <c r="L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1:33" ht="12.75" x14ac:dyDescent="0.2">
      <c r="K770" s="2"/>
      <c r="L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1:33" ht="12.75" x14ac:dyDescent="0.2">
      <c r="K771" s="2"/>
      <c r="L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1:33" ht="12.75" x14ac:dyDescent="0.2">
      <c r="K772" s="2"/>
      <c r="L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1:33" ht="12.75" x14ac:dyDescent="0.2">
      <c r="K773" s="2"/>
      <c r="L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1:33" ht="12.75" x14ac:dyDescent="0.2">
      <c r="K774" s="2"/>
      <c r="L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1:33" ht="12.75" x14ac:dyDescent="0.2">
      <c r="K775" s="2"/>
      <c r="L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1:33" ht="12.75" x14ac:dyDescent="0.2">
      <c r="K776" s="2"/>
      <c r="L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1:33" ht="12.75" x14ac:dyDescent="0.2">
      <c r="K777" s="2"/>
      <c r="L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1:33" ht="12.75" x14ac:dyDescent="0.2">
      <c r="K778" s="2"/>
      <c r="L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1:33" ht="12.75" x14ac:dyDescent="0.2">
      <c r="K779" s="2"/>
      <c r="L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1:33" ht="12.75" x14ac:dyDescent="0.2">
      <c r="K780" s="2"/>
      <c r="L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1:33" ht="12.75" x14ac:dyDescent="0.2">
      <c r="K781" s="2"/>
      <c r="L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1:33" ht="12.75" x14ac:dyDescent="0.2">
      <c r="K782" s="2"/>
      <c r="L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1:33" ht="12.75" x14ac:dyDescent="0.2">
      <c r="K783" s="2"/>
      <c r="L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1:33" ht="12.75" x14ac:dyDescent="0.2">
      <c r="K784" s="2"/>
      <c r="L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1:33" ht="12.75" x14ac:dyDescent="0.2">
      <c r="K785" s="2"/>
      <c r="L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1:33" ht="12.75" x14ac:dyDescent="0.2">
      <c r="K786" s="2"/>
      <c r="L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1:33" ht="12.75" x14ac:dyDescent="0.2">
      <c r="K787" s="2"/>
      <c r="L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1:33" ht="12.75" x14ac:dyDescent="0.2">
      <c r="K788" s="2"/>
      <c r="L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1:33" ht="12.75" x14ac:dyDescent="0.2">
      <c r="K789" s="2"/>
      <c r="L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1:33" ht="12.75" x14ac:dyDescent="0.2">
      <c r="K790" s="2"/>
      <c r="L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1:33" ht="12.75" x14ac:dyDescent="0.2">
      <c r="K791" s="2"/>
      <c r="L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1:33" ht="12.75" x14ac:dyDescent="0.2">
      <c r="K792" s="2"/>
      <c r="L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1:33" ht="12.75" x14ac:dyDescent="0.2">
      <c r="K793" s="2"/>
      <c r="L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1:33" ht="12.75" x14ac:dyDescent="0.2">
      <c r="K794" s="2"/>
      <c r="L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1:33" ht="12.75" x14ac:dyDescent="0.2">
      <c r="K795" s="2"/>
      <c r="L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1:33" ht="12.75" x14ac:dyDescent="0.2">
      <c r="K796" s="2"/>
      <c r="L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1:33" ht="12.75" x14ac:dyDescent="0.2">
      <c r="K797" s="2"/>
      <c r="L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1:33" ht="12.75" x14ac:dyDescent="0.2">
      <c r="K798" s="2"/>
      <c r="L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1:33" ht="12.75" x14ac:dyDescent="0.2">
      <c r="K799" s="2"/>
      <c r="L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1:33" ht="12.75" x14ac:dyDescent="0.2">
      <c r="K800" s="2"/>
      <c r="L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1:33" ht="12.75" x14ac:dyDescent="0.2">
      <c r="K801" s="2"/>
      <c r="L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1:33" ht="12.75" x14ac:dyDescent="0.2">
      <c r="K802" s="2"/>
      <c r="L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1:33" ht="12.75" x14ac:dyDescent="0.2">
      <c r="K803" s="2"/>
      <c r="L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1:33" ht="12.75" x14ac:dyDescent="0.2">
      <c r="K804" s="2"/>
      <c r="L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1:33" ht="12.75" x14ac:dyDescent="0.2">
      <c r="K805" s="2"/>
      <c r="L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1:33" ht="12.75" x14ac:dyDescent="0.2">
      <c r="K806" s="2"/>
      <c r="L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1:33" ht="12.75" x14ac:dyDescent="0.2">
      <c r="K807" s="2"/>
      <c r="L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1:33" ht="12.75" x14ac:dyDescent="0.2">
      <c r="K808" s="2"/>
      <c r="L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1:33" ht="12.75" x14ac:dyDescent="0.2">
      <c r="K809" s="2"/>
      <c r="L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1:33" ht="12.75" x14ac:dyDescent="0.2">
      <c r="K810" s="2"/>
      <c r="L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1:33" ht="12.75" x14ac:dyDescent="0.2">
      <c r="K811" s="2"/>
      <c r="L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1:33" ht="12.75" x14ac:dyDescent="0.2">
      <c r="K812" s="2"/>
      <c r="L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1:33" ht="12.75" x14ac:dyDescent="0.2">
      <c r="K813" s="2"/>
      <c r="L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1:33" ht="12.75" x14ac:dyDescent="0.2">
      <c r="K814" s="2"/>
      <c r="L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1:33" ht="12.75" x14ac:dyDescent="0.2">
      <c r="K815" s="2"/>
      <c r="L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1:33" ht="12.75" x14ac:dyDescent="0.2">
      <c r="K816" s="2"/>
      <c r="L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1:33" ht="12.75" x14ac:dyDescent="0.2">
      <c r="K817" s="2"/>
      <c r="L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1:33" ht="12.75" x14ac:dyDescent="0.2">
      <c r="K818" s="2"/>
      <c r="L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1:33" ht="12.75" x14ac:dyDescent="0.2">
      <c r="K819" s="2"/>
      <c r="L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1:33" ht="12.75" x14ac:dyDescent="0.2">
      <c r="K820" s="2"/>
      <c r="L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1:33" ht="12.75" x14ac:dyDescent="0.2">
      <c r="K821" s="2"/>
      <c r="L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1:33" ht="12.75" x14ac:dyDescent="0.2">
      <c r="K822" s="2"/>
      <c r="L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1:33" ht="12.75" x14ac:dyDescent="0.2">
      <c r="K823" s="2"/>
      <c r="L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1:33" ht="12.75" x14ac:dyDescent="0.2">
      <c r="K824" s="2"/>
      <c r="L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1:33" ht="12.75" x14ac:dyDescent="0.2">
      <c r="K825" s="2"/>
      <c r="L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1:33" ht="12.75" x14ac:dyDescent="0.2">
      <c r="K826" s="2"/>
      <c r="L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1:33" ht="12.75" x14ac:dyDescent="0.2">
      <c r="K827" s="2"/>
      <c r="L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1:33" ht="12.75" x14ac:dyDescent="0.2">
      <c r="K828" s="2"/>
      <c r="L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1:33" ht="12.75" x14ac:dyDescent="0.2">
      <c r="K829" s="2"/>
      <c r="L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1:33" ht="12.75" x14ac:dyDescent="0.2">
      <c r="K830" s="2"/>
      <c r="L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1:33" ht="12.75" x14ac:dyDescent="0.2">
      <c r="K831" s="2"/>
      <c r="L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1:33" ht="12.75" x14ac:dyDescent="0.2">
      <c r="K832" s="2"/>
      <c r="L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1:33" ht="12.75" x14ac:dyDescent="0.2">
      <c r="K833" s="2"/>
      <c r="L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1:33" ht="12.75" x14ac:dyDescent="0.2">
      <c r="K834" s="2"/>
      <c r="L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1:33" ht="12.75" x14ac:dyDescent="0.2">
      <c r="K835" s="2"/>
      <c r="L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1:33" ht="12.75" x14ac:dyDescent="0.2">
      <c r="K836" s="2"/>
      <c r="L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1:33" ht="12.75" x14ac:dyDescent="0.2">
      <c r="K837" s="2"/>
      <c r="L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1:33" ht="12.75" x14ac:dyDescent="0.2">
      <c r="K838" s="2"/>
      <c r="L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1:33" ht="12.75" x14ac:dyDescent="0.2">
      <c r="K839" s="2"/>
      <c r="L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1:33" ht="12.75" x14ac:dyDescent="0.2">
      <c r="K840" s="2"/>
      <c r="L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1:33" ht="12.75" x14ac:dyDescent="0.2">
      <c r="K841" s="2"/>
      <c r="L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1:33" ht="12.75" x14ac:dyDescent="0.2">
      <c r="K842" s="2"/>
      <c r="L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1:33" ht="12.75" x14ac:dyDescent="0.2">
      <c r="K843" s="2"/>
      <c r="L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1:33" ht="12.75" x14ac:dyDescent="0.2">
      <c r="K844" s="2"/>
      <c r="L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1:33" ht="12.75" x14ac:dyDescent="0.2">
      <c r="K845" s="2"/>
      <c r="L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1:33" ht="12.75" x14ac:dyDescent="0.2">
      <c r="K846" s="2"/>
      <c r="L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1:33" ht="12.75" x14ac:dyDescent="0.2">
      <c r="K847" s="2"/>
      <c r="L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1:33" ht="12.75" x14ac:dyDescent="0.2">
      <c r="K848" s="2"/>
      <c r="L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1:33" ht="12.75" x14ac:dyDescent="0.2">
      <c r="K849" s="2"/>
      <c r="L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1:33" ht="12.75" x14ac:dyDescent="0.2">
      <c r="K850" s="2"/>
      <c r="L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1:33" ht="12.75" x14ac:dyDescent="0.2">
      <c r="K851" s="2"/>
      <c r="L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1:33" ht="12.75" x14ac:dyDescent="0.2">
      <c r="K852" s="2"/>
      <c r="L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1:33" ht="12.75" x14ac:dyDescent="0.2">
      <c r="K853" s="2"/>
      <c r="L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1:33" ht="12.75" x14ac:dyDescent="0.2">
      <c r="K854" s="2"/>
      <c r="L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1:33" ht="12.75" x14ac:dyDescent="0.2">
      <c r="K855" s="2"/>
      <c r="L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1:33" ht="12.75" x14ac:dyDescent="0.2">
      <c r="K856" s="2"/>
      <c r="L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1:33" ht="12.75" x14ac:dyDescent="0.2">
      <c r="K857" s="2"/>
      <c r="L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1:33" ht="12.75" x14ac:dyDescent="0.2">
      <c r="K858" s="2"/>
      <c r="L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1:33" ht="12.75" x14ac:dyDescent="0.2">
      <c r="K859" s="2"/>
      <c r="L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1:33" ht="12.75" x14ac:dyDescent="0.2">
      <c r="K860" s="2"/>
      <c r="L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1:33" ht="12.75" x14ac:dyDescent="0.2">
      <c r="K861" s="2"/>
      <c r="L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1:33" ht="12.75" x14ac:dyDescent="0.2">
      <c r="K862" s="2"/>
      <c r="L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1:33" ht="12.75" x14ac:dyDescent="0.2">
      <c r="K863" s="2"/>
      <c r="L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1:33" ht="12.75" x14ac:dyDescent="0.2">
      <c r="K864" s="2"/>
      <c r="L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1:33" ht="12.75" x14ac:dyDescent="0.2">
      <c r="K865" s="2"/>
      <c r="L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1:33" ht="12.75" x14ac:dyDescent="0.2">
      <c r="K866" s="2"/>
      <c r="L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1:33" ht="12.75" x14ac:dyDescent="0.2">
      <c r="K867" s="2"/>
      <c r="L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1:33" ht="12.75" x14ac:dyDescent="0.2">
      <c r="K868" s="2"/>
      <c r="L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1:33" ht="12.75" x14ac:dyDescent="0.2">
      <c r="K869" s="2"/>
      <c r="L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1:33" ht="12.75" x14ac:dyDescent="0.2">
      <c r="K870" s="2"/>
      <c r="L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1:33" ht="12.75" x14ac:dyDescent="0.2">
      <c r="K871" s="2"/>
      <c r="L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1:33" ht="12.75" x14ac:dyDescent="0.2">
      <c r="K872" s="2"/>
      <c r="L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1:33" ht="12.75" x14ac:dyDescent="0.2">
      <c r="K873" s="2"/>
      <c r="L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1:33" ht="12.75" x14ac:dyDescent="0.2">
      <c r="K874" s="2"/>
      <c r="L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1:33" ht="12.75" x14ac:dyDescent="0.2">
      <c r="K875" s="2"/>
      <c r="L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1:33" ht="12.75" x14ac:dyDescent="0.2">
      <c r="K876" s="2"/>
      <c r="L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1:33" ht="12.75" x14ac:dyDescent="0.2">
      <c r="K877" s="2"/>
      <c r="L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1:33" ht="12.75" x14ac:dyDescent="0.2">
      <c r="K878" s="2"/>
      <c r="L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1:33" ht="12.75" x14ac:dyDescent="0.2">
      <c r="K879" s="2"/>
      <c r="L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1:33" ht="12.75" x14ac:dyDescent="0.2">
      <c r="K880" s="2"/>
      <c r="L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1:33" ht="12.75" x14ac:dyDescent="0.2">
      <c r="K881" s="2"/>
      <c r="L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1:33" ht="12.75" x14ac:dyDescent="0.2">
      <c r="K882" s="2"/>
      <c r="L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1:33" ht="12.75" x14ac:dyDescent="0.2">
      <c r="K883" s="2"/>
      <c r="L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1:33" ht="12.75" x14ac:dyDescent="0.2">
      <c r="K884" s="2"/>
      <c r="L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1:33" ht="12.75" x14ac:dyDescent="0.2">
      <c r="K885" s="2"/>
      <c r="L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1:33" ht="12.75" x14ac:dyDescent="0.2">
      <c r="K886" s="2"/>
      <c r="L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1:33" ht="12.75" x14ac:dyDescent="0.2">
      <c r="K887" s="2"/>
      <c r="L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1:33" ht="12.75" x14ac:dyDescent="0.2">
      <c r="K888" s="2"/>
      <c r="L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1:33" ht="12.75" x14ac:dyDescent="0.2">
      <c r="K889" s="2"/>
      <c r="L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1:33" ht="12.75" x14ac:dyDescent="0.2">
      <c r="K890" s="2"/>
      <c r="L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1:33" ht="12.75" x14ac:dyDescent="0.2">
      <c r="K891" s="2"/>
      <c r="L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1:33" ht="12.75" x14ac:dyDescent="0.2">
      <c r="K892" s="2"/>
      <c r="L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1:33" ht="12.75" x14ac:dyDescent="0.2">
      <c r="K893" s="2"/>
      <c r="L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1:33" ht="12.75" x14ac:dyDescent="0.2">
      <c r="K894" s="2"/>
      <c r="L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1:33" ht="12.75" x14ac:dyDescent="0.2">
      <c r="K895" s="2"/>
      <c r="L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1:33" ht="12.75" x14ac:dyDescent="0.2">
      <c r="K896" s="2"/>
      <c r="L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1:33" ht="12.75" x14ac:dyDescent="0.2">
      <c r="K897" s="2"/>
      <c r="L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1:33" ht="12.75" x14ac:dyDescent="0.2">
      <c r="K898" s="2"/>
      <c r="L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1:33" ht="12.75" x14ac:dyDescent="0.2">
      <c r="K899" s="2"/>
      <c r="L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1:33" ht="12.75" x14ac:dyDescent="0.2">
      <c r="K900" s="2"/>
      <c r="L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1:33" ht="12.75" x14ac:dyDescent="0.2">
      <c r="K901" s="2"/>
      <c r="L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1:33" ht="12.75" x14ac:dyDescent="0.2">
      <c r="K902" s="2"/>
      <c r="L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1:33" ht="12.75" x14ac:dyDescent="0.2">
      <c r="K903" s="2"/>
      <c r="L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1:33" ht="12.75" x14ac:dyDescent="0.2">
      <c r="K904" s="2"/>
      <c r="L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1:33" ht="12.75" x14ac:dyDescent="0.2">
      <c r="K905" s="2"/>
      <c r="L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1:33" ht="12.75" x14ac:dyDescent="0.2">
      <c r="K906" s="2"/>
      <c r="L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1:33" ht="12.75" x14ac:dyDescent="0.2">
      <c r="K907" s="2"/>
      <c r="L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1:33" ht="12.75" x14ac:dyDescent="0.2">
      <c r="K908" s="2"/>
      <c r="L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1:33" ht="12.75" x14ac:dyDescent="0.2">
      <c r="K909" s="2"/>
      <c r="L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1:33" ht="12.75" x14ac:dyDescent="0.2">
      <c r="K910" s="2"/>
      <c r="L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1:33" ht="12.75" x14ac:dyDescent="0.2">
      <c r="K911" s="2"/>
      <c r="L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1:33" ht="12.75" x14ac:dyDescent="0.2">
      <c r="K912" s="2"/>
      <c r="L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1:33" ht="12.75" x14ac:dyDescent="0.2">
      <c r="K913" s="2"/>
      <c r="L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1:33" ht="12.75" x14ac:dyDescent="0.2">
      <c r="K914" s="2"/>
      <c r="L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1:33" ht="12.75" x14ac:dyDescent="0.2">
      <c r="K915" s="2"/>
      <c r="L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1:33" ht="12.75" x14ac:dyDescent="0.2">
      <c r="K916" s="2"/>
      <c r="L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1:33" ht="12.75" x14ac:dyDescent="0.2">
      <c r="K917" s="2"/>
      <c r="L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1:33" ht="12.75" x14ac:dyDescent="0.2">
      <c r="K918" s="2"/>
      <c r="L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1:33" ht="12.75" x14ac:dyDescent="0.2">
      <c r="K919" s="2"/>
      <c r="L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1:33" ht="12.75" x14ac:dyDescent="0.2">
      <c r="K920" s="2"/>
      <c r="L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1:33" ht="12.75" x14ac:dyDescent="0.2">
      <c r="K921" s="2"/>
      <c r="L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1:33" ht="12.75" x14ac:dyDescent="0.2">
      <c r="K922" s="2"/>
      <c r="L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1:33" ht="12.75" x14ac:dyDescent="0.2">
      <c r="K923" s="2"/>
      <c r="L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1:33" ht="12.75" x14ac:dyDescent="0.2">
      <c r="K924" s="2"/>
      <c r="L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1:33" ht="12.75" x14ac:dyDescent="0.2">
      <c r="K925" s="2"/>
      <c r="L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1:33" ht="12.75" x14ac:dyDescent="0.2">
      <c r="K926" s="2"/>
      <c r="L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1:33" ht="12.75" x14ac:dyDescent="0.2">
      <c r="K927" s="2"/>
      <c r="L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1:33" ht="12.75" x14ac:dyDescent="0.2">
      <c r="K928" s="2"/>
      <c r="L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1:33" ht="12.75" x14ac:dyDescent="0.2">
      <c r="K929" s="2"/>
      <c r="L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1:33" ht="12.75" x14ac:dyDescent="0.2">
      <c r="K930" s="2"/>
      <c r="L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1:33" ht="12.75" x14ac:dyDescent="0.2">
      <c r="K931" s="2"/>
      <c r="L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1:33" ht="12.75" x14ac:dyDescent="0.2">
      <c r="K932" s="2"/>
      <c r="L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1:33" ht="12.75" x14ac:dyDescent="0.2">
      <c r="K933" s="2"/>
      <c r="L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1:33" ht="12.75" x14ac:dyDescent="0.2">
      <c r="K934" s="2"/>
      <c r="L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1:33" ht="12.75" x14ac:dyDescent="0.2">
      <c r="K935" s="2"/>
      <c r="L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1:33" ht="12.75" x14ac:dyDescent="0.2">
      <c r="K936" s="2"/>
      <c r="L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1:33" ht="12.75" x14ac:dyDescent="0.2">
      <c r="K937" s="2"/>
      <c r="L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1:33" ht="12.75" x14ac:dyDescent="0.2">
      <c r="K938" s="2"/>
      <c r="L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1:33" ht="12.75" x14ac:dyDescent="0.2">
      <c r="K939" s="2"/>
      <c r="L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1:33" ht="12.75" x14ac:dyDescent="0.2">
      <c r="K940" s="2"/>
      <c r="L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1:33" ht="12.75" x14ac:dyDescent="0.2">
      <c r="K941" s="2"/>
      <c r="L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1:33" ht="12.75" x14ac:dyDescent="0.2">
      <c r="K942" s="2"/>
      <c r="L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1:33" ht="12.75" x14ac:dyDescent="0.2">
      <c r="K943" s="2"/>
      <c r="L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1:33" ht="12.75" x14ac:dyDescent="0.2">
      <c r="K944" s="2"/>
      <c r="L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1:33" ht="12.75" x14ac:dyDescent="0.2">
      <c r="K945" s="2"/>
      <c r="L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1:33" ht="12.75" x14ac:dyDescent="0.2">
      <c r="K946" s="2"/>
      <c r="L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1:33" ht="12.75" x14ac:dyDescent="0.2">
      <c r="K947" s="2"/>
      <c r="L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1:33" ht="12.75" x14ac:dyDescent="0.2">
      <c r="K948" s="2"/>
      <c r="L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1:33" ht="12.75" x14ac:dyDescent="0.2">
      <c r="K949" s="2"/>
      <c r="L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1:33" ht="12.75" x14ac:dyDescent="0.2">
      <c r="K950" s="2"/>
      <c r="L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1:33" ht="12.75" x14ac:dyDescent="0.2">
      <c r="K951" s="2"/>
      <c r="L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1:33" ht="12.75" x14ac:dyDescent="0.2">
      <c r="K952" s="2"/>
      <c r="L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1:33" ht="12.75" x14ac:dyDescent="0.2">
      <c r="K953" s="2"/>
      <c r="L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1:33" ht="12.75" x14ac:dyDescent="0.2">
      <c r="K954" s="2"/>
      <c r="L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1:33" ht="12.75" x14ac:dyDescent="0.2">
      <c r="K955" s="2"/>
      <c r="L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1:33" ht="12.75" x14ac:dyDescent="0.2">
      <c r="K956" s="2"/>
      <c r="L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1:33" ht="12.75" x14ac:dyDescent="0.2">
      <c r="K957" s="2"/>
      <c r="L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1:33" ht="12.75" x14ac:dyDescent="0.2">
      <c r="K958" s="2"/>
      <c r="L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1:33" ht="12.75" x14ac:dyDescent="0.2">
      <c r="K959" s="2"/>
      <c r="L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1:33" ht="12.75" x14ac:dyDescent="0.2">
      <c r="K960" s="2"/>
      <c r="L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1:33" ht="12.75" x14ac:dyDescent="0.2">
      <c r="K961" s="2"/>
      <c r="L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1:33" ht="12.75" x14ac:dyDescent="0.2">
      <c r="K962" s="2"/>
      <c r="L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1:33" ht="12.75" x14ac:dyDescent="0.2">
      <c r="K963" s="2"/>
      <c r="L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1:33" ht="12.75" x14ac:dyDescent="0.2">
      <c r="K964" s="2"/>
      <c r="L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1:33" ht="12.75" x14ac:dyDescent="0.2">
      <c r="K965" s="2"/>
      <c r="L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1:33" ht="12.75" x14ac:dyDescent="0.2">
      <c r="K966" s="2"/>
      <c r="L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1:33" ht="12.75" x14ac:dyDescent="0.2">
      <c r="K967" s="2"/>
      <c r="L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1:33" ht="12.75" x14ac:dyDescent="0.2">
      <c r="K968" s="2"/>
      <c r="L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1:33" ht="12.75" x14ac:dyDescent="0.2">
      <c r="K969" s="2"/>
      <c r="L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1:33" ht="12.75" x14ac:dyDescent="0.2">
      <c r="K970" s="2"/>
      <c r="L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1:33" ht="12.75" x14ac:dyDescent="0.2">
      <c r="K971" s="2"/>
      <c r="L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1:33" ht="12.75" x14ac:dyDescent="0.2">
      <c r="K972" s="2"/>
      <c r="L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1:33" ht="12.75" x14ac:dyDescent="0.2">
      <c r="K973" s="2"/>
      <c r="L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1:33" ht="12.75" x14ac:dyDescent="0.2">
      <c r="K974" s="2"/>
      <c r="L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1:33" ht="12.75" x14ac:dyDescent="0.2">
      <c r="K975" s="2"/>
      <c r="L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1:33" ht="12.75" x14ac:dyDescent="0.2">
      <c r="K976" s="2"/>
      <c r="L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1:33" ht="12.75" x14ac:dyDescent="0.2">
      <c r="K977" s="2"/>
      <c r="L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1:33" ht="12.75" x14ac:dyDescent="0.2">
      <c r="K978" s="2"/>
      <c r="L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1:33" ht="12.75" x14ac:dyDescent="0.2">
      <c r="K979" s="2"/>
      <c r="L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1:33" ht="12.75" x14ac:dyDescent="0.2">
      <c r="K980" s="2"/>
      <c r="L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1:33" ht="12.75" x14ac:dyDescent="0.2">
      <c r="K981" s="2"/>
      <c r="L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1:33" ht="12.75" x14ac:dyDescent="0.2">
      <c r="K982" s="2"/>
      <c r="L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1:33" ht="12.75" x14ac:dyDescent="0.2">
      <c r="K983" s="2"/>
      <c r="L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1:33" ht="12.75" x14ac:dyDescent="0.2">
      <c r="K984" s="2"/>
      <c r="L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1:33" ht="12.75" x14ac:dyDescent="0.2">
      <c r="K985" s="2"/>
      <c r="L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1:33" ht="12.75" x14ac:dyDescent="0.2">
      <c r="K986" s="2"/>
      <c r="L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1:33" ht="12.75" x14ac:dyDescent="0.2">
      <c r="K987" s="2"/>
      <c r="L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1:33" ht="12.75" x14ac:dyDescent="0.2">
      <c r="K988" s="2"/>
      <c r="L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1:33" ht="12.75" x14ac:dyDescent="0.2">
      <c r="K989" s="2"/>
      <c r="L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1:33" ht="12.75" x14ac:dyDescent="0.2">
      <c r="K990" s="2"/>
      <c r="L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1:33" ht="12.75" x14ac:dyDescent="0.2">
      <c r="K991" s="2"/>
      <c r="L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1:33" ht="12.75" x14ac:dyDescent="0.2">
      <c r="K992" s="2"/>
      <c r="L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1:33" ht="12.75" x14ac:dyDescent="0.2">
      <c r="K993" s="2"/>
      <c r="L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1:33" ht="12.75" x14ac:dyDescent="0.2">
      <c r="K994" s="2"/>
      <c r="L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1:33" ht="12.75" x14ac:dyDescent="0.2">
      <c r="K995" s="2"/>
      <c r="L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1:33" ht="12.75" x14ac:dyDescent="0.2">
      <c r="K996" s="2"/>
      <c r="L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1:33" ht="12.75" x14ac:dyDescent="0.2">
      <c r="K997" s="2"/>
      <c r="L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1:33" ht="12.75" x14ac:dyDescent="0.2">
      <c r="K998" s="2"/>
      <c r="L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1:33" ht="12.75" x14ac:dyDescent="0.2">
      <c r="K999" s="2"/>
      <c r="L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1:33" ht="12.75" x14ac:dyDescent="0.2">
      <c r="K1000" s="2"/>
      <c r="L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16" customWidth="1"/>
    <col min="3" max="3" width="13.5703125" customWidth="1"/>
  </cols>
  <sheetData>
    <row r="1" spans="1:34" ht="15.75" customHeight="1" x14ac:dyDescent="0.2">
      <c r="A1" s="1" t="s">
        <v>120</v>
      </c>
      <c r="B1" s="1" t="s">
        <v>121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22</v>
      </c>
      <c r="W1" s="1" t="s">
        <v>137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2">
      <c r="A2" s="2" t="s">
        <v>91</v>
      </c>
      <c r="B2" s="2">
        <v>2014</v>
      </c>
      <c r="C2" s="2" t="s">
        <v>92</v>
      </c>
      <c r="D2" s="2" t="s">
        <v>42</v>
      </c>
      <c r="E2" s="2" t="s">
        <v>93</v>
      </c>
      <c r="F2" s="2" t="s">
        <v>138</v>
      </c>
      <c r="G2" s="2" t="s">
        <v>95</v>
      </c>
      <c r="H2" s="2" t="s">
        <v>96</v>
      </c>
      <c r="I2" s="2">
        <v>43</v>
      </c>
      <c r="J2" s="2" t="s">
        <v>97</v>
      </c>
      <c r="K2" s="2">
        <v>194</v>
      </c>
      <c r="L2" s="2">
        <v>388</v>
      </c>
      <c r="M2" s="2">
        <v>30</v>
      </c>
      <c r="N2" s="2">
        <v>552</v>
      </c>
      <c r="O2" s="2">
        <v>582</v>
      </c>
      <c r="P2" s="3"/>
      <c r="Q2" s="3"/>
      <c r="R2" s="2" t="s">
        <v>30</v>
      </c>
      <c r="S2" s="2">
        <v>0.37</v>
      </c>
      <c r="T2" s="2">
        <v>0.24</v>
      </c>
      <c r="U2" s="2">
        <v>1</v>
      </c>
      <c r="V2" s="5" t="s">
        <v>139</v>
      </c>
      <c r="W2" s="5">
        <v>7</v>
      </c>
    </row>
    <row r="3" spans="1:34" ht="15.75" customHeight="1" x14ac:dyDescent="0.2">
      <c r="A3" s="5" t="s">
        <v>74</v>
      </c>
      <c r="B3" s="5">
        <v>2022</v>
      </c>
      <c r="C3" s="5" t="s">
        <v>140</v>
      </c>
      <c r="D3" s="5" t="s">
        <v>65</v>
      </c>
      <c r="E3" s="5" t="s">
        <v>141</v>
      </c>
      <c r="F3" s="5" t="s">
        <v>142</v>
      </c>
      <c r="G3" s="5" t="s">
        <v>113</v>
      </c>
      <c r="H3" s="5" t="s">
        <v>78</v>
      </c>
      <c r="I3" s="5">
        <v>9</v>
      </c>
      <c r="J3" s="5" t="s">
        <v>143</v>
      </c>
      <c r="K3" s="5">
        <v>25889</v>
      </c>
      <c r="L3" s="5">
        <v>32080</v>
      </c>
      <c r="O3" s="5">
        <v>57969</v>
      </c>
      <c r="P3" s="5">
        <v>38.200000000000003</v>
      </c>
      <c r="Q3" s="5">
        <v>40.200000000000003</v>
      </c>
      <c r="R3" s="9"/>
      <c r="S3" s="9"/>
      <c r="T3" s="9"/>
      <c r="U3" s="9"/>
      <c r="V3" s="5" t="s">
        <v>117</v>
      </c>
    </row>
    <row r="4" spans="1:34" ht="15.75" customHeight="1" x14ac:dyDescent="0.2">
      <c r="A4" s="5" t="s">
        <v>109</v>
      </c>
      <c r="B4" s="5">
        <v>2021</v>
      </c>
      <c r="C4" s="5" t="s">
        <v>110</v>
      </c>
      <c r="D4" s="5" t="s">
        <v>42</v>
      </c>
      <c r="E4" s="5" t="s">
        <v>43</v>
      </c>
      <c r="F4" s="5" t="s">
        <v>112</v>
      </c>
      <c r="G4" s="5" t="s">
        <v>113</v>
      </c>
      <c r="I4" s="5">
        <v>12</v>
      </c>
      <c r="J4" s="5" t="s">
        <v>116</v>
      </c>
      <c r="K4" s="9"/>
      <c r="L4" s="9"/>
      <c r="M4" s="10">
        <v>18961</v>
      </c>
      <c r="N4" s="10">
        <v>23686</v>
      </c>
      <c r="O4" s="10">
        <v>42647</v>
      </c>
      <c r="P4" s="5">
        <v>32</v>
      </c>
      <c r="Q4" s="5">
        <v>33</v>
      </c>
      <c r="R4" s="5" t="s">
        <v>59</v>
      </c>
      <c r="S4" s="5">
        <v>0.76</v>
      </c>
      <c r="T4" s="5">
        <v>0.39</v>
      </c>
      <c r="U4" s="5">
        <v>1.47</v>
      </c>
      <c r="V4" s="5" t="s">
        <v>117</v>
      </c>
      <c r="W4" s="5">
        <v>7</v>
      </c>
    </row>
    <row r="5" spans="1:34" ht="15.75" customHeight="1" x14ac:dyDescent="0.2">
      <c r="A5" s="5" t="s">
        <v>40</v>
      </c>
      <c r="B5" s="5">
        <v>2023</v>
      </c>
      <c r="C5" s="5" t="s">
        <v>41</v>
      </c>
      <c r="D5" s="5" t="s">
        <v>42</v>
      </c>
      <c r="E5" s="5" t="s">
        <v>43</v>
      </c>
      <c r="F5" s="5" t="s">
        <v>144</v>
      </c>
      <c r="G5" s="5" t="s">
        <v>45</v>
      </c>
      <c r="H5" s="5" t="s">
        <v>46</v>
      </c>
      <c r="I5" s="5">
        <v>37</v>
      </c>
      <c r="J5" s="5" t="s">
        <v>47</v>
      </c>
      <c r="K5" s="10">
        <v>16822</v>
      </c>
      <c r="L5" s="10">
        <v>672880</v>
      </c>
      <c r="M5" s="5">
        <v>7618</v>
      </c>
      <c r="N5" s="10">
        <v>682084</v>
      </c>
      <c r="O5" s="10">
        <v>689702</v>
      </c>
      <c r="R5" s="5" t="s">
        <v>145</v>
      </c>
      <c r="S5" s="5">
        <v>0.73</v>
      </c>
      <c r="T5" s="5">
        <v>0.6</v>
      </c>
      <c r="U5" s="5">
        <v>0.87</v>
      </c>
      <c r="V5" s="5" t="s">
        <v>49</v>
      </c>
    </row>
    <row r="6" spans="1:34" ht="15.75" customHeight="1" x14ac:dyDescent="0.2">
      <c r="R6" s="5" t="s">
        <v>146</v>
      </c>
      <c r="S6" s="5">
        <v>0.46</v>
      </c>
      <c r="T6" s="5">
        <v>0.31</v>
      </c>
      <c r="U6" s="5">
        <v>0.67</v>
      </c>
    </row>
    <row r="7" spans="1:34" ht="15.75" customHeight="1" x14ac:dyDescent="0.2">
      <c r="A7" s="5" t="s">
        <v>23</v>
      </c>
      <c r="B7" s="5">
        <v>2018</v>
      </c>
      <c r="C7" s="5" t="s">
        <v>147</v>
      </c>
      <c r="D7" s="5" t="s">
        <v>42</v>
      </c>
      <c r="E7" s="5" t="s">
        <v>26</v>
      </c>
      <c r="F7" s="5" t="s">
        <v>138</v>
      </c>
      <c r="G7" s="5" t="s">
        <v>148</v>
      </c>
      <c r="H7" s="9"/>
      <c r="I7" s="5">
        <v>17</v>
      </c>
      <c r="J7" s="5" t="s">
        <v>149</v>
      </c>
      <c r="K7" s="5">
        <v>198</v>
      </c>
      <c r="L7" s="5">
        <v>389</v>
      </c>
      <c r="M7" s="5">
        <v>434</v>
      </c>
      <c r="N7" s="5">
        <v>150</v>
      </c>
      <c r="O7" s="5">
        <v>587</v>
      </c>
      <c r="R7" s="5" t="s">
        <v>30</v>
      </c>
      <c r="S7" s="5">
        <v>1.75</v>
      </c>
      <c r="T7" s="5">
        <v>1.194</v>
      </c>
      <c r="U7" s="11">
        <v>2.5640000000000001</v>
      </c>
      <c r="V7" s="5" t="s">
        <v>117</v>
      </c>
    </row>
    <row r="8" spans="1:34" ht="15.75" customHeight="1" x14ac:dyDescent="0.2">
      <c r="A8" s="5" t="s">
        <v>63</v>
      </c>
      <c r="B8" s="5">
        <v>2023</v>
      </c>
      <c r="C8" s="5" t="s">
        <v>64</v>
      </c>
      <c r="D8" s="5" t="s">
        <v>65</v>
      </c>
      <c r="E8" s="5" t="s">
        <v>66</v>
      </c>
      <c r="F8" s="5" t="s">
        <v>150</v>
      </c>
      <c r="G8" s="5" t="s">
        <v>151</v>
      </c>
      <c r="H8" s="5" t="s">
        <v>69</v>
      </c>
      <c r="J8" s="5" t="s">
        <v>71</v>
      </c>
      <c r="K8" s="9"/>
      <c r="L8" s="9"/>
      <c r="M8" s="10">
        <v>32879</v>
      </c>
      <c r="N8" s="10">
        <v>98637</v>
      </c>
      <c r="O8" s="5">
        <v>131516</v>
      </c>
      <c r="Q8" s="5">
        <v>42</v>
      </c>
      <c r="R8" s="5" t="s">
        <v>30</v>
      </c>
      <c r="S8" s="5">
        <v>0.82</v>
      </c>
      <c r="T8" s="5">
        <v>0.55000000000000004</v>
      </c>
      <c r="U8" s="5">
        <v>1.21</v>
      </c>
      <c r="V8" s="9"/>
    </row>
    <row r="9" spans="1:34" ht="15.75" customHeight="1" x14ac:dyDescent="0.2">
      <c r="A9" s="5" t="s">
        <v>51</v>
      </c>
      <c r="B9" s="5">
        <v>2015</v>
      </c>
      <c r="C9" s="5" t="s">
        <v>33</v>
      </c>
      <c r="D9" s="5" t="s">
        <v>65</v>
      </c>
      <c r="E9" s="5" t="s">
        <v>26</v>
      </c>
      <c r="F9" s="5" t="s">
        <v>152</v>
      </c>
      <c r="G9" s="5" t="s">
        <v>153</v>
      </c>
      <c r="H9" s="5" t="s">
        <v>54</v>
      </c>
      <c r="I9" s="5">
        <v>18</v>
      </c>
      <c r="J9" s="9"/>
      <c r="K9" s="9"/>
      <c r="L9" s="9"/>
      <c r="M9" s="10">
        <v>34433</v>
      </c>
      <c r="N9" s="5">
        <v>5414686</v>
      </c>
      <c r="O9" s="10">
        <v>5449119</v>
      </c>
      <c r="P9" s="9"/>
      <c r="Q9" s="5">
        <v>35.700000000000003</v>
      </c>
      <c r="R9" s="5" t="s">
        <v>59</v>
      </c>
      <c r="S9" s="5">
        <v>0.65</v>
      </c>
      <c r="T9" s="5">
        <v>0.52</v>
      </c>
      <c r="U9" s="5">
        <v>0.81</v>
      </c>
      <c r="V9" s="5" t="s">
        <v>154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1000"/>
  <sheetViews>
    <sheetView topLeftCell="I1" workbookViewId="0">
      <pane ySplit="1" topLeftCell="A3" activePane="bottomLeft" state="frozen"/>
      <selection pane="bottomLeft" activeCell="T9" sqref="T9"/>
    </sheetView>
  </sheetViews>
  <sheetFormatPr defaultColWidth="12.5703125" defaultRowHeight="15.75" customHeight="1" x14ac:dyDescent="0.2"/>
  <cols>
    <col min="1" max="1" width="15.85546875" style="2" customWidth="1"/>
    <col min="2" max="4" width="12.5703125" style="2"/>
    <col min="5" max="5" width="18" style="2" customWidth="1"/>
    <col min="7" max="8" width="12.5703125" style="2"/>
    <col min="11" max="12" width="12.5703125" style="2"/>
    <col min="15" max="17" width="12.5703125" style="2"/>
    <col min="18" max="18" width="13.42578125" style="2" customWidth="1"/>
    <col min="19" max="21" width="12.5703125" style="2"/>
    <col min="22" max="22" width="29.5703125" style="2" customWidth="1"/>
    <col min="23" max="23" width="23.42578125" customWidth="1"/>
  </cols>
  <sheetData>
    <row r="1" spans="1:34" ht="15.75" customHeight="1" x14ac:dyDescent="0.2">
      <c r="A1" s="1" t="s">
        <v>120</v>
      </c>
      <c r="B1" s="1" t="s">
        <v>121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22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2">
      <c r="A2" s="2" t="s">
        <v>155</v>
      </c>
      <c r="B2" s="2">
        <v>2014</v>
      </c>
      <c r="C2" s="2" t="s">
        <v>92</v>
      </c>
      <c r="D2" s="2" t="s">
        <v>156</v>
      </c>
      <c r="E2" s="2" t="s">
        <v>157</v>
      </c>
      <c r="F2" s="2" t="s">
        <v>158</v>
      </c>
      <c r="G2" s="2" t="s">
        <v>159</v>
      </c>
      <c r="H2" s="2" t="s">
        <v>160</v>
      </c>
      <c r="I2" s="3"/>
      <c r="J2" s="5" t="s">
        <v>80</v>
      </c>
      <c r="K2" s="3">
        <v>194</v>
      </c>
      <c r="L2" s="2">
        <v>388</v>
      </c>
      <c r="M2" s="2">
        <v>60</v>
      </c>
      <c r="N2" s="2">
        <v>476</v>
      </c>
      <c r="O2" s="2">
        <v>582</v>
      </c>
      <c r="P2" s="2">
        <v>61.4</v>
      </c>
      <c r="Q2" s="2">
        <v>61.4</v>
      </c>
      <c r="R2" s="2" t="s">
        <v>30</v>
      </c>
      <c r="S2" s="2" t="s">
        <v>161</v>
      </c>
      <c r="T2" s="2" t="s">
        <v>162</v>
      </c>
      <c r="U2" s="2" t="s">
        <v>163</v>
      </c>
      <c r="V2" s="2" t="s">
        <v>164</v>
      </c>
      <c r="W2" s="2"/>
      <c r="X2" s="2"/>
      <c r="Y2" s="2"/>
      <c r="Z2" s="2"/>
      <c r="AA2" s="2"/>
      <c r="AB2" s="2"/>
      <c r="AC2" s="2"/>
      <c r="AD2" s="2"/>
      <c r="AE2" s="2"/>
    </row>
    <row r="3" spans="1:34" ht="15.75" customHeight="1" x14ac:dyDescent="0.2">
      <c r="A3" s="2" t="s">
        <v>165</v>
      </c>
      <c r="B3" s="2">
        <v>2021</v>
      </c>
      <c r="C3" s="2" t="s">
        <v>33</v>
      </c>
      <c r="D3" s="2" t="s">
        <v>166</v>
      </c>
      <c r="E3" s="2" t="s">
        <v>167</v>
      </c>
      <c r="F3" s="2" t="s">
        <v>168</v>
      </c>
      <c r="G3" s="2" t="s">
        <v>45</v>
      </c>
      <c r="H3" s="2" t="s">
        <v>53</v>
      </c>
      <c r="I3" s="2" t="s">
        <v>169</v>
      </c>
      <c r="J3" s="2" t="s">
        <v>170</v>
      </c>
      <c r="K3" s="2">
        <v>12448</v>
      </c>
      <c r="L3" s="2">
        <v>5441621</v>
      </c>
      <c r="M3" s="4">
        <v>24895</v>
      </c>
      <c r="N3" s="2">
        <v>5429174</v>
      </c>
      <c r="O3" s="4">
        <v>5454069</v>
      </c>
      <c r="P3" s="2">
        <v>35.9</v>
      </c>
      <c r="R3" s="2" t="s">
        <v>59</v>
      </c>
      <c r="S3" s="2">
        <v>0.72</v>
      </c>
      <c r="T3" s="2">
        <v>0.56000000000000005</v>
      </c>
      <c r="U3" s="2">
        <v>0.93</v>
      </c>
      <c r="V3" s="2" t="s">
        <v>171</v>
      </c>
      <c r="W3" s="2"/>
      <c r="X3" s="2"/>
      <c r="Y3" s="2"/>
      <c r="Z3" s="2"/>
      <c r="AA3" s="2"/>
      <c r="AB3" s="2"/>
      <c r="AC3" s="2"/>
      <c r="AD3" s="2"/>
      <c r="AE3" s="2"/>
    </row>
    <row r="4" spans="1:34" ht="15.75" customHeight="1" x14ac:dyDescent="0.2">
      <c r="A4" s="5" t="s">
        <v>172</v>
      </c>
      <c r="B4" s="2">
        <v>2020</v>
      </c>
      <c r="C4" s="2" t="s">
        <v>110</v>
      </c>
      <c r="D4" s="2" t="s">
        <v>166</v>
      </c>
      <c r="E4" s="2" t="s">
        <v>167</v>
      </c>
      <c r="F4" s="2" t="s">
        <v>173</v>
      </c>
      <c r="G4" s="2" t="s">
        <v>45</v>
      </c>
      <c r="H4" s="2" t="s">
        <v>160</v>
      </c>
      <c r="I4" s="3"/>
      <c r="J4" s="2" t="s">
        <v>170</v>
      </c>
      <c r="K4" s="2">
        <v>38</v>
      </c>
      <c r="L4" s="2">
        <v>42609</v>
      </c>
      <c r="M4" s="2">
        <v>18961</v>
      </c>
      <c r="N4" s="2">
        <v>23686</v>
      </c>
      <c r="O4" s="2">
        <v>42647</v>
      </c>
      <c r="P4" s="2">
        <v>32</v>
      </c>
      <c r="Q4" s="2">
        <v>33</v>
      </c>
      <c r="R4" s="2" t="s">
        <v>59</v>
      </c>
      <c r="S4" s="2">
        <v>0.76</v>
      </c>
      <c r="T4" s="2">
        <v>0.39</v>
      </c>
      <c r="U4" s="2">
        <v>1.47</v>
      </c>
      <c r="V4" s="2" t="s">
        <v>117</v>
      </c>
      <c r="W4" s="2" t="s">
        <v>118</v>
      </c>
      <c r="X4" s="2"/>
      <c r="Y4" s="2"/>
      <c r="Z4" s="2"/>
      <c r="AA4" s="2"/>
      <c r="AB4" s="2"/>
      <c r="AC4" s="2"/>
      <c r="AD4" s="2"/>
      <c r="AE4" s="2"/>
    </row>
    <row r="5" spans="1:34" ht="15.75" customHeight="1" x14ac:dyDescent="0.2">
      <c r="A5" s="2" t="s">
        <v>32</v>
      </c>
      <c r="B5" s="2">
        <v>2021</v>
      </c>
      <c r="C5" s="2" t="s">
        <v>33</v>
      </c>
      <c r="D5" s="2" t="s">
        <v>42</v>
      </c>
      <c r="E5" s="2" t="s">
        <v>167</v>
      </c>
      <c r="F5" s="2" t="s">
        <v>174</v>
      </c>
      <c r="G5" s="2" t="s">
        <v>45</v>
      </c>
      <c r="H5" s="2" t="s">
        <v>175</v>
      </c>
      <c r="I5" s="3"/>
      <c r="J5" s="2" t="s">
        <v>149</v>
      </c>
      <c r="K5" s="2">
        <v>4040</v>
      </c>
      <c r="L5" s="2">
        <v>39100</v>
      </c>
      <c r="M5" s="2">
        <v>922</v>
      </c>
      <c r="N5" s="2">
        <v>42218</v>
      </c>
      <c r="O5" s="2">
        <v>43140</v>
      </c>
      <c r="R5" s="2" t="s">
        <v>30</v>
      </c>
      <c r="S5" s="2" t="s">
        <v>176</v>
      </c>
      <c r="T5" s="2" t="s">
        <v>177</v>
      </c>
      <c r="U5" s="2" t="s">
        <v>178</v>
      </c>
      <c r="V5" s="2" t="s">
        <v>179</v>
      </c>
      <c r="W5" s="2" t="s">
        <v>180</v>
      </c>
      <c r="X5" s="2"/>
      <c r="Y5" s="2"/>
      <c r="Z5" s="2"/>
      <c r="AA5" s="2"/>
      <c r="AB5" s="2"/>
      <c r="AC5" s="2"/>
      <c r="AD5" s="2"/>
      <c r="AE5" s="2"/>
    </row>
    <row r="6" spans="1:34" ht="15.75" customHeight="1" x14ac:dyDescent="0.2">
      <c r="A6" s="3" t="s">
        <v>40</v>
      </c>
      <c r="B6" s="2">
        <v>2023</v>
      </c>
      <c r="C6" s="2" t="s">
        <v>41</v>
      </c>
      <c r="D6" s="2" t="s">
        <v>42</v>
      </c>
      <c r="E6" s="2" t="s">
        <v>181</v>
      </c>
      <c r="F6" s="2" t="s">
        <v>174</v>
      </c>
      <c r="G6" s="2" t="s">
        <v>45</v>
      </c>
      <c r="I6" s="3"/>
      <c r="J6" s="2" t="s">
        <v>149</v>
      </c>
      <c r="K6" s="10">
        <v>16822</v>
      </c>
      <c r="L6" s="2">
        <v>672880</v>
      </c>
      <c r="M6" s="3"/>
      <c r="N6" s="3"/>
      <c r="O6" s="2">
        <v>689762</v>
      </c>
      <c r="R6" s="2" t="s">
        <v>30</v>
      </c>
      <c r="S6" s="2" t="s">
        <v>182</v>
      </c>
      <c r="T6" s="2" t="s">
        <v>183</v>
      </c>
      <c r="U6" s="2" t="s">
        <v>184</v>
      </c>
      <c r="W6" s="2" t="s">
        <v>185</v>
      </c>
      <c r="X6" s="2"/>
      <c r="Y6" s="2"/>
      <c r="Z6" s="2"/>
      <c r="AA6" s="2"/>
      <c r="AB6" s="2"/>
      <c r="AC6" s="2"/>
      <c r="AD6" s="2"/>
      <c r="AE6" s="2"/>
    </row>
    <row r="7" spans="1:34" ht="15.75" customHeight="1" x14ac:dyDescent="0.2">
      <c r="A7" s="5" t="s">
        <v>63</v>
      </c>
      <c r="B7" s="2">
        <v>2023</v>
      </c>
      <c r="C7" s="2" t="s">
        <v>75</v>
      </c>
      <c r="D7" s="2" t="s">
        <v>166</v>
      </c>
      <c r="E7" s="2" t="s">
        <v>181</v>
      </c>
      <c r="F7" s="3"/>
      <c r="G7" s="2" t="s">
        <v>186</v>
      </c>
      <c r="I7" s="2" t="s">
        <v>187</v>
      </c>
      <c r="J7" s="3"/>
      <c r="K7" s="2">
        <v>148</v>
      </c>
      <c r="L7" s="2">
        <v>131368</v>
      </c>
      <c r="M7" s="2">
        <v>32879</v>
      </c>
      <c r="N7" s="2">
        <v>98637</v>
      </c>
      <c r="O7" s="2">
        <v>131516</v>
      </c>
      <c r="P7" s="2">
        <v>42.2</v>
      </c>
      <c r="Q7" s="2">
        <v>42.2</v>
      </c>
      <c r="R7" s="2" t="s">
        <v>59</v>
      </c>
      <c r="S7" s="2">
        <v>0.82</v>
      </c>
      <c r="T7" s="2">
        <v>0.55000000000000004</v>
      </c>
      <c r="U7" s="2">
        <v>1.21</v>
      </c>
      <c r="V7" s="2" t="s">
        <v>188</v>
      </c>
      <c r="W7" s="2"/>
      <c r="X7" s="2"/>
      <c r="Y7" s="2"/>
      <c r="Z7" s="2"/>
      <c r="AA7" s="2"/>
      <c r="AB7" s="2"/>
      <c r="AC7" s="2"/>
      <c r="AD7" s="2"/>
      <c r="AE7" s="2"/>
    </row>
    <row r="8" spans="1:34" ht="15.75" customHeight="1" x14ac:dyDescent="0.2">
      <c r="A8" s="2" t="s">
        <v>82</v>
      </c>
      <c r="B8" s="2">
        <v>2019</v>
      </c>
      <c r="C8" s="2" t="s">
        <v>83</v>
      </c>
      <c r="D8" s="2" t="s">
        <v>166</v>
      </c>
      <c r="E8" s="2" t="s">
        <v>189</v>
      </c>
      <c r="F8" s="2" t="s">
        <v>190</v>
      </c>
      <c r="G8" s="2" t="s">
        <v>45</v>
      </c>
      <c r="H8" s="2" t="s">
        <v>191</v>
      </c>
      <c r="I8" s="2" t="s">
        <v>192</v>
      </c>
      <c r="J8" s="3"/>
      <c r="K8" s="2">
        <v>73</v>
      </c>
      <c r="L8" s="2">
        <v>999081</v>
      </c>
      <c r="M8" s="4">
        <v>45410</v>
      </c>
      <c r="N8" s="4">
        <v>953744</v>
      </c>
      <c r="O8" s="2">
        <v>999154</v>
      </c>
      <c r="P8" s="2">
        <v>45.5</v>
      </c>
      <c r="Q8" s="2">
        <v>33</v>
      </c>
      <c r="R8" s="2" t="s">
        <v>59</v>
      </c>
      <c r="S8" s="2">
        <v>3.52</v>
      </c>
      <c r="T8" s="2">
        <v>0.89</v>
      </c>
      <c r="U8" s="2">
        <v>13.8</v>
      </c>
      <c r="V8" s="2" t="s">
        <v>193</v>
      </c>
      <c r="W8" s="2"/>
      <c r="X8" s="2"/>
      <c r="Y8" s="2"/>
      <c r="Z8" s="2"/>
      <c r="AA8" s="2"/>
      <c r="AB8" s="2"/>
      <c r="AC8" s="2"/>
      <c r="AD8" s="2"/>
      <c r="AE8" s="2"/>
    </row>
    <row r="9" spans="1:34" ht="15.75" customHeight="1" x14ac:dyDescent="0.2">
      <c r="A9" s="2" t="s">
        <v>100</v>
      </c>
      <c r="B9" s="2">
        <v>2014</v>
      </c>
      <c r="C9" s="2" t="s">
        <v>41</v>
      </c>
      <c r="D9" s="2" t="s">
        <v>42</v>
      </c>
      <c r="E9" s="2" t="s">
        <v>194</v>
      </c>
      <c r="F9" s="2" t="s">
        <v>173</v>
      </c>
      <c r="G9" s="2" t="s">
        <v>45</v>
      </c>
      <c r="H9" s="2" t="s">
        <v>104</v>
      </c>
      <c r="I9" s="2"/>
      <c r="J9" s="2" t="s">
        <v>195</v>
      </c>
      <c r="K9" s="2">
        <v>13135</v>
      </c>
      <c r="L9" s="2">
        <v>192896</v>
      </c>
      <c r="M9" s="2">
        <v>1899</v>
      </c>
      <c r="N9" s="2">
        <v>206031</v>
      </c>
      <c r="O9" s="2">
        <v>207930</v>
      </c>
      <c r="R9" s="2" t="s">
        <v>30</v>
      </c>
      <c r="S9" s="2" t="s">
        <v>196</v>
      </c>
      <c r="T9" s="2" t="s">
        <v>197</v>
      </c>
      <c r="U9" s="2" t="s">
        <v>198</v>
      </c>
      <c r="V9" s="2" t="s">
        <v>106</v>
      </c>
      <c r="W9" s="2"/>
      <c r="X9" s="2"/>
      <c r="Y9" s="2"/>
      <c r="Z9" s="2"/>
      <c r="AA9" s="2"/>
      <c r="AB9" s="2"/>
      <c r="AC9" s="2"/>
      <c r="AD9" s="2"/>
      <c r="AE9" s="2"/>
    </row>
    <row r="10" spans="1:34" ht="15.75" customHeight="1" x14ac:dyDescent="0.2">
      <c r="F10" s="2"/>
      <c r="I10" s="2"/>
      <c r="J10" s="2"/>
      <c r="M10" s="2"/>
      <c r="N10" s="2"/>
      <c r="W10" s="2"/>
      <c r="X10" s="2"/>
      <c r="Y10" s="2"/>
      <c r="Z10" s="2"/>
      <c r="AA10" s="2"/>
      <c r="AB10" s="2"/>
      <c r="AC10" s="2"/>
      <c r="AD10" s="2"/>
      <c r="AE10" s="2"/>
    </row>
    <row r="11" spans="1:34" ht="15.75" customHeight="1" x14ac:dyDescent="0.2">
      <c r="F11" s="2"/>
      <c r="I11" s="2"/>
      <c r="J11" s="2"/>
      <c r="M11" s="2"/>
      <c r="N11" s="2"/>
      <c r="W11" s="2"/>
      <c r="X11" s="2"/>
      <c r="Y11" s="2"/>
      <c r="Z11" s="2"/>
      <c r="AA11" s="2"/>
      <c r="AB11" s="2"/>
      <c r="AC11" s="2"/>
      <c r="AD11" s="2"/>
      <c r="AE11" s="2"/>
    </row>
    <row r="12" spans="1:34" ht="15.75" customHeight="1" x14ac:dyDescent="0.2">
      <c r="F12" s="2"/>
      <c r="I12" s="2"/>
      <c r="J12" s="2"/>
      <c r="M12" s="2"/>
      <c r="N12" s="2"/>
      <c r="W12" s="2"/>
      <c r="X12" s="2"/>
      <c r="Y12" s="2"/>
      <c r="Z12" s="2"/>
      <c r="AA12" s="2"/>
      <c r="AB12" s="2"/>
      <c r="AC12" s="2"/>
      <c r="AD12" s="2"/>
      <c r="AE12" s="2"/>
    </row>
    <row r="13" spans="1:34" ht="15.75" customHeight="1" x14ac:dyDescent="0.2">
      <c r="F13" s="2"/>
      <c r="I13" s="2"/>
      <c r="J13" s="2"/>
      <c r="M13" s="2"/>
      <c r="N13" s="2"/>
      <c r="W13" s="2"/>
      <c r="X13" s="2"/>
      <c r="Y13" s="2"/>
      <c r="Z13" s="2"/>
      <c r="AA13" s="2"/>
      <c r="AB13" s="2"/>
      <c r="AC13" s="2"/>
      <c r="AD13" s="2"/>
      <c r="AE13" s="2"/>
    </row>
    <row r="14" spans="1:34" ht="15.75" customHeight="1" x14ac:dyDescent="0.2">
      <c r="F14" s="2"/>
      <c r="I14" s="2"/>
      <c r="J14" s="2"/>
      <c r="M14" s="2"/>
      <c r="N14" s="2"/>
      <c r="W14" s="2"/>
      <c r="X14" s="2"/>
      <c r="Y14" s="2"/>
      <c r="Z14" s="2"/>
      <c r="AA14" s="2"/>
      <c r="AB14" s="2"/>
      <c r="AC14" s="2"/>
      <c r="AD14" s="2"/>
      <c r="AE14" s="2"/>
    </row>
    <row r="15" spans="1:34" ht="15.75" customHeight="1" x14ac:dyDescent="0.2">
      <c r="F15" s="2"/>
      <c r="I15" s="2"/>
      <c r="J15" s="2"/>
      <c r="M15" s="2"/>
      <c r="N15" s="2"/>
      <c r="W15" s="2"/>
      <c r="X15" s="2"/>
      <c r="Y15" s="2"/>
      <c r="Z15" s="2"/>
      <c r="AA15" s="2"/>
      <c r="AB15" s="2"/>
      <c r="AC15" s="2"/>
      <c r="AD15" s="2"/>
      <c r="AE15" s="2"/>
    </row>
    <row r="16" spans="1:34" ht="15.75" customHeight="1" x14ac:dyDescent="0.2">
      <c r="F16" s="2"/>
      <c r="I16" s="2"/>
      <c r="J16" s="2"/>
      <c r="M16" s="2"/>
      <c r="N16" s="2"/>
      <c r="W16" s="2"/>
      <c r="X16" s="2"/>
      <c r="Y16" s="2"/>
      <c r="Z16" s="2"/>
      <c r="AA16" s="2"/>
      <c r="AB16" s="2"/>
      <c r="AC16" s="2"/>
      <c r="AD16" s="2"/>
      <c r="AE16" s="2"/>
    </row>
    <row r="17" spans="6:31" ht="15.75" customHeight="1" x14ac:dyDescent="0.2">
      <c r="F17" s="2"/>
      <c r="I17" s="2"/>
      <c r="J17" s="2"/>
      <c r="M17" s="2"/>
      <c r="N17" s="2"/>
      <c r="W17" s="2"/>
      <c r="X17" s="2"/>
      <c r="Y17" s="2"/>
      <c r="Z17" s="2"/>
      <c r="AA17" s="2"/>
      <c r="AB17" s="2"/>
      <c r="AC17" s="2"/>
      <c r="AD17" s="2"/>
      <c r="AE17" s="2"/>
    </row>
    <row r="18" spans="6:31" ht="15.75" customHeight="1" x14ac:dyDescent="0.2">
      <c r="F18" s="2"/>
      <c r="I18" s="2"/>
      <c r="J18" s="2"/>
      <c r="M18" s="2"/>
      <c r="N18" s="2"/>
      <c r="W18" s="2"/>
      <c r="X18" s="2"/>
      <c r="Y18" s="2"/>
      <c r="Z18" s="2"/>
      <c r="AA18" s="2"/>
      <c r="AB18" s="2"/>
      <c r="AC18" s="2"/>
      <c r="AD18" s="2"/>
      <c r="AE18" s="2"/>
    </row>
    <row r="19" spans="6:31" ht="15.75" customHeight="1" x14ac:dyDescent="0.2">
      <c r="F19" s="2"/>
      <c r="I19" s="2"/>
      <c r="J19" s="2"/>
      <c r="M19" s="2"/>
      <c r="N19" s="2"/>
      <c r="W19" s="2"/>
      <c r="X19" s="2"/>
      <c r="Y19" s="2"/>
      <c r="Z19" s="2"/>
      <c r="AA19" s="2"/>
      <c r="AB19" s="2"/>
      <c r="AC19" s="2"/>
      <c r="AD19" s="2"/>
      <c r="AE19" s="2"/>
    </row>
    <row r="20" spans="6:31" ht="15.75" customHeight="1" x14ac:dyDescent="0.2">
      <c r="F20" s="2"/>
      <c r="I20" s="2"/>
      <c r="J20" s="2"/>
      <c r="M20" s="2"/>
      <c r="N20" s="2"/>
      <c r="W20" s="2"/>
      <c r="X20" s="2"/>
      <c r="Y20" s="2"/>
      <c r="Z20" s="2"/>
      <c r="AA20" s="2"/>
      <c r="AB20" s="2"/>
      <c r="AC20" s="2"/>
      <c r="AD20" s="2"/>
      <c r="AE20" s="2"/>
    </row>
    <row r="21" spans="6:31" ht="12.75" x14ac:dyDescent="0.2">
      <c r="F21" s="2"/>
      <c r="I21" s="2"/>
      <c r="J21" s="2"/>
      <c r="M21" s="2"/>
      <c r="N21" s="2"/>
      <c r="W21" s="2"/>
      <c r="X21" s="2"/>
      <c r="Y21" s="2"/>
      <c r="Z21" s="2"/>
      <c r="AA21" s="2"/>
      <c r="AB21" s="2"/>
      <c r="AC21" s="2"/>
      <c r="AD21" s="2"/>
      <c r="AE21" s="2"/>
    </row>
    <row r="22" spans="6:31" ht="12.75" x14ac:dyDescent="0.2">
      <c r="F22" s="2"/>
      <c r="I22" s="2"/>
      <c r="J22" s="2"/>
      <c r="M22" s="2"/>
      <c r="N22" s="2"/>
      <c r="W22" s="2"/>
      <c r="X22" s="2"/>
      <c r="Y22" s="2"/>
      <c r="Z22" s="2"/>
      <c r="AA22" s="2"/>
      <c r="AB22" s="2"/>
      <c r="AC22" s="2"/>
      <c r="AD22" s="2"/>
      <c r="AE22" s="2"/>
    </row>
    <row r="23" spans="6:31" ht="12.75" x14ac:dyDescent="0.2">
      <c r="F23" s="2"/>
      <c r="I23" s="2"/>
      <c r="J23" s="2"/>
      <c r="M23" s="2"/>
      <c r="N23" s="2"/>
      <c r="W23" s="2"/>
      <c r="X23" s="2"/>
      <c r="Y23" s="2"/>
      <c r="Z23" s="2"/>
      <c r="AA23" s="2"/>
      <c r="AB23" s="2"/>
      <c r="AC23" s="2"/>
      <c r="AD23" s="2"/>
      <c r="AE23" s="2"/>
    </row>
    <row r="24" spans="6:31" ht="12.75" x14ac:dyDescent="0.2">
      <c r="F24" s="2"/>
      <c r="I24" s="2"/>
      <c r="J24" s="2"/>
      <c r="M24" s="2"/>
      <c r="N24" s="2"/>
      <c r="W24" s="2"/>
      <c r="X24" s="2"/>
      <c r="Y24" s="2"/>
      <c r="Z24" s="2"/>
      <c r="AA24" s="2"/>
      <c r="AB24" s="2"/>
      <c r="AC24" s="2"/>
      <c r="AD24" s="2"/>
      <c r="AE24" s="2"/>
    </row>
    <row r="25" spans="6:31" ht="12.75" x14ac:dyDescent="0.2">
      <c r="F25" s="2"/>
      <c r="I25" s="2"/>
      <c r="J25" s="2"/>
      <c r="M25" s="2"/>
      <c r="N25" s="2"/>
      <c r="W25" s="2"/>
      <c r="X25" s="2"/>
      <c r="Y25" s="2"/>
      <c r="Z25" s="2"/>
      <c r="AA25" s="2"/>
      <c r="AB25" s="2"/>
      <c r="AC25" s="2"/>
      <c r="AD25" s="2"/>
      <c r="AE25" s="2"/>
    </row>
    <row r="26" spans="6:31" ht="12.75" x14ac:dyDescent="0.2">
      <c r="F26" s="2"/>
      <c r="I26" s="2"/>
      <c r="J26" s="2"/>
      <c r="M26" s="2"/>
      <c r="N26" s="2"/>
      <c r="W26" s="2"/>
      <c r="X26" s="2"/>
      <c r="Y26" s="2"/>
      <c r="Z26" s="2"/>
      <c r="AA26" s="2"/>
      <c r="AB26" s="2"/>
      <c r="AC26" s="2"/>
      <c r="AD26" s="2"/>
      <c r="AE26" s="2"/>
    </row>
    <row r="27" spans="6:31" ht="12.75" x14ac:dyDescent="0.2">
      <c r="F27" s="2"/>
      <c r="I27" s="2"/>
      <c r="J27" s="2"/>
      <c r="M27" s="2"/>
      <c r="N27" s="2"/>
      <c r="W27" s="2"/>
      <c r="X27" s="2"/>
      <c r="Y27" s="2"/>
      <c r="Z27" s="2"/>
      <c r="AA27" s="2"/>
      <c r="AB27" s="2"/>
      <c r="AC27" s="2"/>
      <c r="AD27" s="2"/>
      <c r="AE27" s="2"/>
    </row>
    <row r="28" spans="6:31" ht="12.75" x14ac:dyDescent="0.2">
      <c r="F28" s="2"/>
      <c r="I28" s="2"/>
      <c r="J28" s="2"/>
      <c r="M28" s="2"/>
      <c r="N28" s="2"/>
      <c r="W28" s="2"/>
      <c r="X28" s="2"/>
      <c r="Y28" s="2"/>
      <c r="Z28" s="2"/>
      <c r="AA28" s="2"/>
      <c r="AB28" s="2"/>
      <c r="AC28" s="2"/>
      <c r="AD28" s="2"/>
      <c r="AE28" s="2"/>
    </row>
    <row r="29" spans="6:31" ht="12.75" x14ac:dyDescent="0.2">
      <c r="F29" s="2"/>
      <c r="I29" s="2"/>
      <c r="J29" s="2"/>
      <c r="M29" s="2"/>
      <c r="N29" s="2"/>
      <c r="W29" s="2"/>
      <c r="X29" s="2"/>
      <c r="Y29" s="2"/>
      <c r="Z29" s="2"/>
      <c r="AA29" s="2"/>
      <c r="AB29" s="2"/>
      <c r="AC29" s="2"/>
      <c r="AD29" s="2"/>
      <c r="AE29" s="2"/>
    </row>
    <row r="30" spans="6:31" ht="12.75" x14ac:dyDescent="0.2">
      <c r="F30" s="2"/>
      <c r="I30" s="2"/>
      <c r="J30" s="2"/>
      <c r="M30" s="2"/>
      <c r="N30" s="2"/>
      <c r="W30" s="2"/>
      <c r="X30" s="2"/>
      <c r="Y30" s="2"/>
      <c r="Z30" s="2"/>
      <c r="AA30" s="2"/>
      <c r="AB30" s="2"/>
      <c r="AC30" s="2"/>
      <c r="AD30" s="2"/>
      <c r="AE30" s="2"/>
    </row>
    <row r="31" spans="6:31" ht="12.75" x14ac:dyDescent="0.2">
      <c r="F31" s="2"/>
      <c r="I31" s="2"/>
      <c r="J31" s="2"/>
      <c r="M31" s="2"/>
      <c r="N31" s="2"/>
      <c r="W31" s="2"/>
      <c r="X31" s="2"/>
      <c r="Y31" s="2"/>
      <c r="Z31" s="2"/>
      <c r="AA31" s="2"/>
      <c r="AB31" s="2"/>
      <c r="AC31" s="2"/>
      <c r="AD31" s="2"/>
      <c r="AE31" s="2"/>
    </row>
    <row r="32" spans="6:31" ht="12.75" x14ac:dyDescent="0.2">
      <c r="F32" s="2"/>
      <c r="I32" s="2"/>
      <c r="J32" s="2"/>
      <c r="M32" s="2"/>
      <c r="N32" s="2"/>
      <c r="W32" s="2"/>
      <c r="X32" s="2"/>
      <c r="Y32" s="2"/>
      <c r="Z32" s="2"/>
      <c r="AA32" s="2"/>
      <c r="AB32" s="2"/>
      <c r="AC32" s="2"/>
      <c r="AD32" s="2"/>
      <c r="AE32" s="2"/>
    </row>
    <row r="33" spans="6:31" ht="12.75" x14ac:dyDescent="0.2">
      <c r="F33" s="2"/>
      <c r="I33" s="2"/>
      <c r="J33" s="2"/>
      <c r="M33" s="2"/>
      <c r="N33" s="2"/>
      <c r="W33" s="2"/>
      <c r="X33" s="2"/>
      <c r="Y33" s="2"/>
      <c r="Z33" s="2"/>
      <c r="AA33" s="2"/>
      <c r="AB33" s="2"/>
      <c r="AC33" s="2"/>
      <c r="AD33" s="2"/>
      <c r="AE33" s="2"/>
    </row>
    <row r="34" spans="6:31" ht="12.75" x14ac:dyDescent="0.2">
      <c r="F34" s="2"/>
      <c r="I34" s="2"/>
      <c r="J34" s="2"/>
      <c r="M34" s="2"/>
      <c r="N34" s="2"/>
      <c r="W34" s="2"/>
      <c r="X34" s="2"/>
      <c r="Y34" s="2"/>
      <c r="Z34" s="2"/>
      <c r="AA34" s="2"/>
      <c r="AB34" s="2"/>
      <c r="AC34" s="2"/>
      <c r="AD34" s="2"/>
      <c r="AE34" s="2"/>
    </row>
    <row r="35" spans="6:31" ht="12.75" x14ac:dyDescent="0.2">
      <c r="F35" s="2"/>
      <c r="I35" s="2"/>
      <c r="J35" s="2"/>
      <c r="M35" s="2"/>
      <c r="N35" s="2"/>
      <c r="W35" s="2"/>
      <c r="X35" s="2"/>
      <c r="Y35" s="2"/>
      <c r="Z35" s="2"/>
      <c r="AA35" s="2"/>
      <c r="AB35" s="2"/>
      <c r="AC35" s="2"/>
      <c r="AD35" s="2"/>
      <c r="AE35" s="2"/>
    </row>
    <row r="36" spans="6:31" ht="12.75" x14ac:dyDescent="0.2">
      <c r="F36" s="2"/>
      <c r="I36" s="2"/>
      <c r="J36" s="2"/>
      <c r="M36" s="2"/>
      <c r="N36" s="2"/>
      <c r="W36" s="2"/>
      <c r="X36" s="2"/>
      <c r="Y36" s="2"/>
      <c r="Z36" s="2"/>
      <c r="AA36" s="2"/>
      <c r="AB36" s="2"/>
      <c r="AC36" s="2"/>
      <c r="AD36" s="2"/>
      <c r="AE36" s="2"/>
    </row>
    <row r="37" spans="6:31" ht="12.75" x14ac:dyDescent="0.2">
      <c r="F37" s="2"/>
      <c r="I37" s="2"/>
      <c r="J37" s="2"/>
      <c r="M37" s="2"/>
      <c r="N37" s="2"/>
      <c r="W37" s="2"/>
      <c r="X37" s="2"/>
      <c r="Y37" s="2"/>
      <c r="Z37" s="2"/>
      <c r="AA37" s="2"/>
      <c r="AB37" s="2"/>
      <c r="AC37" s="2"/>
      <c r="AD37" s="2"/>
      <c r="AE37" s="2"/>
    </row>
    <row r="38" spans="6:31" ht="12.75" x14ac:dyDescent="0.2">
      <c r="F38" s="2"/>
      <c r="I38" s="2"/>
      <c r="J38" s="2"/>
      <c r="M38" s="2"/>
      <c r="N38" s="2"/>
      <c r="W38" s="2"/>
      <c r="X38" s="2"/>
      <c r="Y38" s="2"/>
      <c r="Z38" s="2"/>
      <c r="AA38" s="2"/>
      <c r="AB38" s="2"/>
      <c r="AC38" s="2"/>
      <c r="AD38" s="2"/>
      <c r="AE38" s="2"/>
    </row>
    <row r="39" spans="6:31" ht="12.75" x14ac:dyDescent="0.2">
      <c r="F39" s="2"/>
      <c r="I39" s="2"/>
      <c r="J39" s="2"/>
      <c r="M39" s="2"/>
      <c r="N39" s="2"/>
      <c r="W39" s="2"/>
      <c r="X39" s="2"/>
      <c r="Y39" s="2"/>
      <c r="Z39" s="2"/>
      <c r="AA39" s="2"/>
      <c r="AB39" s="2"/>
      <c r="AC39" s="2"/>
      <c r="AD39" s="2"/>
      <c r="AE39" s="2"/>
    </row>
    <row r="40" spans="6:31" ht="12.75" x14ac:dyDescent="0.2">
      <c r="F40" s="2"/>
      <c r="I40" s="2"/>
      <c r="J40" s="2"/>
      <c r="M40" s="2"/>
      <c r="N40" s="2"/>
      <c r="W40" s="2"/>
      <c r="X40" s="2"/>
      <c r="Y40" s="2"/>
      <c r="Z40" s="2"/>
      <c r="AA40" s="2"/>
      <c r="AB40" s="2"/>
      <c r="AC40" s="2"/>
      <c r="AD40" s="2"/>
      <c r="AE40" s="2"/>
    </row>
    <row r="41" spans="6:31" ht="12.75" x14ac:dyDescent="0.2">
      <c r="F41" s="2"/>
      <c r="I41" s="2"/>
      <c r="J41" s="2"/>
      <c r="M41" s="2"/>
      <c r="N41" s="2"/>
      <c r="W41" s="2"/>
      <c r="X41" s="2"/>
      <c r="Y41" s="2"/>
      <c r="Z41" s="2"/>
      <c r="AA41" s="2"/>
      <c r="AB41" s="2"/>
      <c r="AC41" s="2"/>
      <c r="AD41" s="2"/>
      <c r="AE41" s="2"/>
    </row>
    <row r="42" spans="6:31" ht="12.75" x14ac:dyDescent="0.2">
      <c r="F42" s="2"/>
      <c r="I42" s="2"/>
      <c r="J42" s="2"/>
      <c r="M42" s="2"/>
      <c r="N42" s="2"/>
      <c r="W42" s="2"/>
      <c r="X42" s="2"/>
      <c r="Y42" s="2"/>
      <c r="Z42" s="2"/>
      <c r="AA42" s="2"/>
      <c r="AB42" s="2"/>
      <c r="AC42" s="2"/>
      <c r="AD42" s="2"/>
      <c r="AE42" s="2"/>
    </row>
    <row r="43" spans="6:31" ht="12.75" x14ac:dyDescent="0.2">
      <c r="F43" s="2"/>
      <c r="I43" s="2"/>
      <c r="J43" s="2"/>
      <c r="M43" s="2"/>
      <c r="N43" s="2"/>
      <c r="W43" s="2"/>
      <c r="X43" s="2"/>
      <c r="Y43" s="2"/>
      <c r="Z43" s="2"/>
      <c r="AA43" s="2"/>
      <c r="AB43" s="2"/>
      <c r="AC43" s="2"/>
      <c r="AD43" s="2"/>
      <c r="AE43" s="2"/>
    </row>
    <row r="44" spans="6:31" ht="12.75" x14ac:dyDescent="0.2">
      <c r="F44" s="2"/>
      <c r="I44" s="2"/>
      <c r="J44" s="2"/>
      <c r="M44" s="2"/>
      <c r="N44" s="2"/>
      <c r="W44" s="2"/>
      <c r="X44" s="2"/>
      <c r="Y44" s="2"/>
      <c r="Z44" s="2"/>
      <c r="AA44" s="2"/>
      <c r="AB44" s="2"/>
      <c r="AC44" s="2"/>
      <c r="AD44" s="2"/>
      <c r="AE44" s="2"/>
    </row>
    <row r="45" spans="6:31" ht="12.75" x14ac:dyDescent="0.2">
      <c r="F45" s="2"/>
      <c r="I45" s="2"/>
      <c r="J45" s="2"/>
      <c r="M45" s="2"/>
      <c r="N45" s="2"/>
      <c r="W45" s="2"/>
      <c r="X45" s="2"/>
      <c r="Y45" s="2"/>
      <c r="Z45" s="2"/>
      <c r="AA45" s="2"/>
      <c r="AB45" s="2"/>
      <c r="AC45" s="2"/>
      <c r="AD45" s="2"/>
      <c r="AE45" s="2"/>
    </row>
    <row r="46" spans="6:31" ht="12.75" x14ac:dyDescent="0.2">
      <c r="F46" s="2"/>
      <c r="I46" s="2"/>
      <c r="J46" s="2"/>
      <c r="M46" s="2"/>
      <c r="N46" s="2"/>
      <c r="W46" s="2"/>
      <c r="X46" s="2"/>
      <c r="Y46" s="2"/>
      <c r="Z46" s="2"/>
      <c r="AA46" s="2"/>
      <c r="AB46" s="2"/>
      <c r="AC46" s="2"/>
      <c r="AD46" s="2"/>
      <c r="AE46" s="2"/>
    </row>
    <row r="47" spans="6:31" ht="12.75" x14ac:dyDescent="0.2">
      <c r="F47" s="2"/>
      <c r="I47" s="2"/>
      <c r="J47" s="2"/>
      <c r="M47" s="2"/>
      <c r="N47" s="2"/>
      <c r="W47" s="2"/>
      <c r="X47" s="2"/>
      <c r="Y47" s="2"/>
      <c r="Z47" s="2"/>
      <c r="AA47" s="2"/>
      <c r="AB47" s="2"/>
      <c r="AC47" s="2"/>
      <c r="AD47" s="2"/>
      <c r="AE47" s="2"/>
    </row>
    <row r="48" spans="6:31" ht="12.75" x14ac:dyDescent="0.2">
      <c r="F48" s="2"/>
      <c r="I48" s="2"/>
      <c r="J48" s="2"/>
      <c r="M48" s="2"/>
      <c r="N48" s="2"/>
      <c r="W48" s="2"/>
      <c r="X48" s="2"/>
      <c r="Y48" s="2"/>
      <c r="Z48" s="2"/>
      <c r="AA48" s="2"/>
      <c r="AB48" s="2"/>
      <c r="AC48" s="2"/>
      <c r="AD48" s="2"/>
      <c r="AE48" s="2"/>
    </row>
    <row r="49" spans="6:31" ht="12.75" x14ac:dyDescent="0.2">
      <c r="F49" s="2"/>
      <c r="I49" s="2"/>
      <c r="J49" s="2"/>
      <c r="M49" s="2"/>
      <c r="N49" s="2"/>
      <c r="W49" s="2"/>
      <c r="X49" s="2"/>
      <c r="Y49" s="2"/>
      <c r="Z49" s="2"/>
      <c r="AA49" s="2"/>
      <c r="AB49" s="2"/>
      <c r="AC49" s="2"/>
      <c r="AD49" s="2"/>
      <c r="AE49" s="2"/>
    </row>
    <row r="50" spans="6:31" ht="12.75" x14ac:dyDescent="0.2">
      <c r="F50" s="2"/>
      <c r="I50" s="2"/>
      <c r="J50" s="2"/>
      <c r="M50" s="2"/>
      <c r="N50" s="2"/>
      <c r="W50" s="2"/>
      <c r="X50" s="2"/>
      <c r="Y50" s="2"/>
      <c r="Z50" s="2"/>
      <c r="AA50" s="2"/>
      <c r="AB50" s="2"/>
      <c r="AC50" s="2"/>
      <c r="AD50" s="2"/>
      <c r="AE50" s="2"/>
    </row>
    <row r="51" spans="6:31" ht="12.75" x14ac:dyDescent="0.2">
      <c r="F51" s="2"/>
      <c r="I51" s="2"/>
      <c r="J51" s="2"/>
      <c r="M51" s="2"/>
      <c r="N51" s="2"/>
      <c r="W51" s="2"/>
      <c r="X51" s="2"/>
      <c r="Y51" s="2"/>
      <c r="Z51" s="2"/>
      <c r="AA51" s="2"/>
      <c r="AB51" s="2"/>
      <c r="AC51" s="2"/>
      <c r="AD51" s="2"/>
      <c r="AE51" s="2"/>
    </row>
    <row r="52" spans="6:31" ht="12.75" x14ac:dyDescent="0.2">
      <c r="F52" s="2"/>
      <c r="I52" s="2"/>
      <c r="J52" s="2"/>
      <c r="M52" s="2"/>
      <c r="N52" s="2"/>
      <c r="W52" s="2"/>
      <c r="X52" s="2"/>
      <c r="Y52" s="2"/>
      <c r="Z52" s="2"/>
      <c r="AA52" s="2"/>
      <c r="AB52" s="2"/>
      <c r="AC52" s="2"/>
      <c r="AD52" s="2"/>
      <c r="AE52" s="2"/>
    </row>
    <row r="53" spans="6:31" ht="12.75" x14ac:dyDescent="0.2">
      <c r="F53" s="2"/>
      <c r="I53" s="2"/>
      <c r="J53" s="2"/>
      <c r="M53" s="2"/>
      <c r="N53" s="2"/>
      <c r="W53" s="2"/>
      <c r="X53" s="2"/>
      <c r="Y53" s="2"/>
      <c r="Z53" s="2"/>
      <c r="AA53" s="2"/>
      <c r="AB53" s="2"/>
      <c r="AC53" s="2"/>
      <c r="AD53" s="2"/>
      <c r="AE53" s="2"/>
    </row>
    <row r="54" spans="6:31" ht="12.75" x14ac:dyDescent="0.2">
      <c r="F54" s="2"/>
      <c r="I54" s="2"/>
      <c r="J54" s="2"/>
      <c r="M54" s="2"/>
      <c r="N54" s="2"/>
      <c r="W54" s="2"/>
      <c r="X54" s="2"/>
      <c r="Y54" s="2"/>
      <c r="Z54" s="2"/>
      <c r="AA54" s="2"/>
      <c r="AB54" s="2"/>
      <c r="AC54" s="2"/>
      <c r="AD54" s="2"/>
      <c r="AE54" s="2"/>
    </row>
    <row r="55" spans="6:31" ht="12.75" x14ac:dyDescent="0.2">
      <c r="F55" s="2"/>
      <c r="I55" s="2"/>
      <c r="J55" s="2"/>
      <c r="M55" s="2"/>
      <c r="N55" s="2"/>
      <c r="W55" s="2"/>
      <c r="X55" s="2"/>
      <c r="Y55" s="2"/>
      <c r="Z55" s="2"/>
      <c r="AA55" s="2"/>
      <c r="AB55" s="2"/>
      <c r="AC55" s="2"/>
      <c r="AD55" s="2"/>
      <c r="AE55" s="2"/>
    </row>
    <row r="56" spans="6:31" ht="12.75" x14ac:dyDescent="0.2">
      <c r="F56" s="2"/>
      <c r="I56" s="2"/>
      <c r="J56" s="2"/>
      <c r="M56" s="2"/>
      <c r="N56" s="2"/>
      <c r="W56" s="2"/>
      <c r="X56" s="2"/>
      <c r="Y56" s="2"/>
      <c r="Z56" s="2"/>
      <c r="AA56" s="2"/>
      <c r="AB56" s="2"/>
      <c r="AC56" s="2"/>
      <c r="AD56" s="2"/>
      <c r="AE56" s="2"/>
    </row>
    <row r="57" spans="6:31" ht="12.75" x14ac:dyDescent="0.2">
      <c r="F57" s="2"/>
      <c r="I57" s="2"/>
      <c r="J57" s="2"/>
      <c r="M57" s="2"/>
      <c r="N57" s="2"/>
      <c r="W57" s="2"/>
      <c r="X57" s="2"/>
      <c r="Y57" s="2"/>
      <c r="Z57" s="2"/>
      <c r="AA57" s="2"/>
      <c r="AB57" s="2"/>
      <c r="AC57" s="2"/>
      <c r="AD57" s="2"/>
      <c r="AE57" s="2"/>
    </row>
    <row r="58" spans="6:31" ht="12.75" x14ac:dyDescent="0.2">
      <c r="F58" s="2"/>
      <c r="I58" s="2"/>
      <c r="J58" s="2"/>
      <c r="M58" s="2"/>
      <c r="N58" s="2"/>
      <c r="W58" s="2"/>
      <c r="X58" s="2"/>
      <c r="Y58" s="2"/>
      <c r="Z58" s="2"/>
      <c r="AA58" s="2"/>
      <c r="AB58" s="2"/>
      <c r="AC58" s="2"/>
      <c r="AD58" s="2"/>
      <c r="AE58" s="2"/>
    </row>
    <row r="59" spans="6:31" ht="12.75" x14ac:dyDescent="0.2">
      <c r="F59" s="2"/>
      <c r="I59" s="2"/>
      <c r="J59" s="2"/>
      <c r="M59" s="2"/>
      <c r="N59" s="2"/>
      <c r="W59" s="2"/>
      <c r="X59" s="2"/>
      <c r="Y59" s="2"/>
      <c r="Z59" s="2"/>
      <c r="AA59" s="2"/>
      <c r="AB59" s="2"/>
      <c r="AC59" s="2"/>
      <c r="AD59" s="2"/>
      <c r="AE59" s="2"/>
    </row>
    <row r="60" spans="6:31" ht="12.75" x14ac:dyDescent="0.2">
      <c r="F60" s="2"/>
      <c r="I60" s="2"/>
      <c r="J60" s="2"/>
      <c r="M60" s="2"/>
      <c r="N60" s="2"/>
      <c r="W60" s="2"/>
      <c r="X60" s="2"/>
      <c r="Y60" s="2"/>
      <c r="Z60" s="2"/>
      <c r="AA60" s="2"/>
      <c r="AB60" s="2"/>
      <c r="AC60" s="2"/>
      <c r="AD60" s="2"/>
      <c r="AE60" s="2"/>
    </row>
    <row r="61" spans="6:31" ht="12.75" x14ac:dyDescent="0.2">
      <c r="F61" s="2"/>
      <c r="I61" s="2"/>
      <c r="J61" s="2"/>
      <c r="M61" s="2"/>
      <c r="N61" s="2"/>
      <c r="W61" s="2"/>
      <c r="X61" s="2"/>
      <c r="Y61" s="2"/>
      <c r="Z61" s="2"/>
      <c r="AA61" s="2"/>
      <c r="AB61" s="2"/>
      <c r="AC61" s="2"/>
      <c r="AD61" s="2"/>
      <c r="AE61" s="2"/>
    </row>
    <row r="62" spans="6:31" ht="12.75" x14ac:dyDescent="0.2">
      <c r="F62" s="2"/>
      <c r="I62" s="2"/>
      <c r="J62" s="2"/>
      <c r="M62" s="2"/>
      <c r="N62" s="2"/>
      <c r="W62" s="2"/>
      <c r="X62" s="2"/>
      <c r="Y62" s="2"/>
      <c r="Z62" s="2"/>
      <c r="AA62" s="2"/>
      <c r="AB62" s="2"/>
      <c r="AC62" s="2"/>
      <c r="AD62" s="2"/>
      <c r="AE62" s="2"/>
    </row>
    <row r="63" spans="6:31" ht="12.75" x14ac:dyDescent="0.2">
      <c r="F63" s="2"/>
      <c r="I63" s="2"/>
      <c r="J63" s="2"/>
      <c r="M63" s="2"/>
      <c r="N63" s="2"/>
      <c r="W63" s="2"/>
      <c r="X63" s="2"/>
      <c r="Y63" s="2"/>
      <c r="Z63" s="2"/>
      <c r="AA63" s="2"/>
      <c r="AB63" s="2"/>
      <c r="AC63" s="2"/>
      <c r="AD63" s="2"/>
      <c r="AE63" s="2"/>
    </row>
    <row r="64" spans="6:31" ht="12.75" x14ac:dyDescent="0.2">
      <c r="F64" s="2"/>
      <c r="I64" s="2"/>
      <c r="J64" s="2"/>
      <c r="M64" s="2"/>
      <c r="N64" s="2"/>
      <c r="W64" s="2"/>
      <c r="X64" s="2"/>
      <c r="Y64" s="2"/>
      <c r="Z64" s="2"/>
      <c r="AA64" s="2"/>
      <c r="AB64" s="2"/>
      <c r="AC64" s="2"/>
      <c r="AD64" s="2"/>
      <c r="AE64" s="2"/>
    </row>
    <row r="65" spans="6:31" ht="12.75" x14ac:dyDescent="0.2">
      <c r="F65" s="2"/>
      <c r="I65" s="2"/>
      <c r="J65" s="2"/>
      <c r="M65" s="2"/>
      <c r="N65" s="2"/>
      <c r="W65" s="2"/>
      <c r="X65" s="2"/>
      <c r="Y65" s="2"/>
      <c r="Z65" s="2"/>
      <c r="AA65" s="2"/>
      <c r="AB65" s="2"/>
      <c r="AC65" s="2"/>
      <c r="AD65" s="2"/>
      <c r="AE65" s="2"/>
    </row>
    <row r="66" spans="6:31" ht="12.75" x14ac:dyDescent="0.2">
      <c r="F66" s="2"/>
      <c r="I66" s="2"/>
      <c r="J66" s="2"/>
      <c r="M66" s="2"/>
      <c r="N66" s="2"/>
      <c r="W66" s="2"/>
      <c r="X66" s="2"/>
      <c r="Y66" s="2"/>
      <c r="Z66" s="2"/>
      <c r="AA66" s="2"/>
      <c r="AB66" s="2"/>
      <c r="AC66" s="2"/>
      <c r="AD66" s="2"/>
      <c r="AE66" s="2"/>
    </row>
    <row r="67" spans="6:31" ht="12.75" x14ac:dyDescent="0.2">
      <c r="F67" s="2"/>
      <c r="I67" s="2"/>
      <c r="J67" s="2"/>
      <c r="M67" s="2"/>
      <c r="N67" s="2"/>
      <c r="W67" s="2"/>
      <c r="X67" s="2"/>
      <c r="Y67" s="2"/>
      <c r="Z67" s="2"/>
      <c r="AA67" s="2"/>
      <c r="AB67" s="2"/>
      <c r="AC67" s="2"/>
      <c r="AD67" s="2"/>
      <c r="AE67" s="2"/>
    </row>
    <row r="68" spans="6:31" ht="12.75" x14ac:dyDescent="0.2">
      <c r="F68" s="2"/>
      <c r="I68" s="2"/>
      <c r="J68" s="2"/>
      <c r="M68" s="2"/>
      <c r="N68" s="2"/>
      <c r="W68" s="2"/>
      <c r="X68" s="2"/>
      <c r="Y68" s="2"/>
      <c r="Z68" s="2"/>
      <c r="AA68" s="2"/>
      <c r="AB68" s="2"/>
      <c r="AC68" s="2"/>
      <c r="AD68" s="2"/>
      <c r="AE68" s="2"/>
    </row>
    <row r="69" spans="6:31" ht="12.75" x14ac:dyDescent="0.2">
      <c r="F69" s="2"/>
      <c r="I69" s="2"/>
      <c r="J69" s="2"/>
      <c r="M69" s="2"/>
      <c r="N69" s="2"/>
      <c r="W69" s="2"/>
      <c r="X69" s="2"/>
      <c r="Y69" s="2"/>
      <c r="Z69" s="2"/>
      <c r="AA69" s="2"/>
      <c r="AB69" s="2"/>
      <c r="AC69" s="2"/>
      <c r="AD69" s="2"/>
      <c r="AE69" s="2"/>
    </row>
    <row r="70" spans="6:31" ht="12.75" x14ac:dyDescent="0.2">
      <c r="F70" s="2"/>
      <c r="I70" s="2"/>
      <c r="J70" s="2"/>
      <c r="M70" s="2"/>
      <c r="N70" s="2"/>
      <c r="W70" s="2"/>
      <c r="X70" s="2"/>
      <c r="Y70" s="2"/>
      <c r="Z70" s="2"/>
      <c r="AA70" s="2"/>
      <c r="AB70" s="2"/>
      <c r="AC70" s="2"/>
      <c r="AD70" s="2"/>
      <c r="AE70" s="2"/>
    </row>
    <row r="71" spans="6:31" ht="12.75" x14ac:dyDescent="0.2">
      <c r="F71" s="2"/>
      <c r="I71" s="2"/>
      <c r="J71" s="2"/>
      <c r="M71" s="2"/>
      <c r="N71" s="2"/>
      <c r="W71" s="2"/>
      <c r="X71" s="2"/>
      <c r="Y71" s="2"/>
      <c r="Z71" s="2"/>
      <c r="AA71" s="2"/>
      <c r="AB71" s="2"/>
      <c r="AC71" s="2"/>
      <c r="AD71" s="2"/>
      <c r="AE71" s="2"/>
    </row>
    <row r="72" spans="6:31" ht="12.75" x14ac:dyDescent="0.2">
      <c r="F72" s="2"/>
      <c r="I72" s="2"/>
      <c r="J72" s="2"/>
      <c r="M72" s="2"/>
      <c r="N72" s="2"/>
      <c r="W72" s="2"/>
      <c r="X72" s="2"/>
      <c r="Y72" s="2"/>
      <c r="Z72" s="2"/>
      <c r="AA72" s="2"/>
      <c r="AB72" s="2"/>
      <c r="AC72" s="2"/>
      <c r="AD72" s="2"/>
      <c r="AE72" s="2"/>
    </row>
    <row r="73" spans="6:31" ht="12.75" x14ac:dyDescent="0.2">
      <c r="F73" s="2"/>
      <c r="I73" s="2"/>
      <c r="J73" s="2"/>
      <c r="M73" s="2"/>
      <c r="N73" s="2"/>
      <c r="W73" s="2"/>
      <c r="X73" s="2"/>
      <c r="Y73" s="2"/>
      <c r="Z73" s="2"/>
      <c r="AA73" s="2"/>
      <c r="AB73" s="2"/>
      <c r="AC73" s="2"/>
      <c r="AD73" s="2"/>
      <c r="AE73" s="2"/>
    </row>
    <row r="74" spans="6:31" ht="12.75" x14ac:dyDescent="0.2">
      <c r="F74" s="2"/>
      <c r="I74" s="2"/>
      <c r="J74" s="2"/>
      <c r="M74" s="2"/>
      <c r="N74" s="2"/>
      <c r="W74" s="2"/>
      <c r="X74" s="2"/>
      <c r="Y74" s="2"/>
      <c r="Z74" s="2"/>
      <c r="AA74" s="2"/>
      <c r="AB74" s="2"/>
      <c r="AC74" s="2"/>
      <c r="AD74" s="2"/>
      <c r="AE74" s="2"/>
    </row>
    <row r="75" spans="6:31" ht="12.75" x14ac:dyDescent="0.2">
      <c r="F75" s="2"/>
      <c r="I75" s="2"/>
      <c r="J75" s="2"/>
      <c r="M75" s="2"/>
      <c r="N75" s="2"/>
      <c r="W75" s="2"/>
      <c r="X75" s="2"/>
      <c r="Y75" s="2"/>
      <c r="Z75" s="2"/>
      <c r="AA75" s="2"/>
      <c r="AB75" s="2"/>
      <c r="AC75" s="2"/>
      <c r="AD75" s="2"/>
      <c r="AE75" s="2"/>
    </row>
    <row r="76" spans="6:31" ht="12.75" x14ac:dyDescent="0.2">
      <c r="F76" s="2"/>
      <c r="I76" s="2"/>
      <c r="J76" s="2"/>
      <c r="M76" s="2"/>
      <c r="N76" s="2"/>
      <c r="W76" s="2"/>
      <c r="X76" s="2"/>
      <c r="Y76" s="2"/>
      <c r="Z76" s="2"/>
      <c r="AA76" s="2"/>
      <c r="AB76" s="2"/>
      <c r="AC76" s="2"/>
      <c r="AD76" s="2"/>
      <c r="AE76" s="2"/>
    </row>
    <row r="77" spans="6:31" ht="12.75" x14ac:dyDescent="0.2">
      <c r="F77" s="2"/>
      <c r="I77" s="2"/>
      <c r="J77" s="2"/>
      <c r="M77" s="2"/>
      <c r="N77" s="2"/>
      <c r="W77" s="2"/>
      <c r="X77" s="2"/>
      <c r="Y77" s="2"/>
      <c r="Z77" s="2"/>
      <c r="AA77" s="2"/>
      <c r="AB77" s="2"/>
      <c r="AC77" s="2"/>
      <c r="AD77" s="2"/>
      <c r="AE77" s="2"/>
    </row>
    <row r="78" spans="6:31" ht="12.75" x14ac:dyDescent="0.2">
      <c r="F78" s="2"/>
      <c r="I78" s="2"/>
      <c r="J78" s="2"/>
      <c r="M78" s="2"/>
      <c r="N78" s="2"/>
      <c r="W78" s="2"/>
      <c r="X78" s="2"/>
      <c r="Y78" s="2"/>
      <c r="Z78" s="2"/>
      <c r="AA78" s="2"/>
      <c r="AB78" s="2"/>
      <c r="AC78" s="2"/>
      <c r="AD78" s="2"/>
      <c r="AE78" s="2"/>
    </row>
    <row r="79" spans="6:31" ht="12.75" x14ac:dyDescent="0.2">
      <c r="F79" s="2"/>
      <c r="I79" s="2"/>
      <c r="J79" s="2"/>
      <c r="M79" s="2"/>
      <c r="N79" s="2"/>
      <c r="W79" s="2"/>
      <c r="X79" s="2"/>
      <c r="Y79" s="2"/>
      <c r="Z79" s="2"/>
      <c r="AA79" s="2"/>
      <c r="AB79" s="2"/>
      <c r="AC79" s="2"/>
      <c r="AD79" s="2"/>
      <c r="AE79" s="2"/>
    </row>
    <row r="80" spans="6:31" ht="12.75" x14ac:dyDescent="0.2">
      <c r="F80" s="2"/>
      <c r="I80" s="2"/>
      <c r="J80" s="2"/>
      <c r="M80" s="2"/>
      <c r="N80" s="2"/>
      <c r="W80" s="2"/>
      <c r="X80" s="2"/>
      <c r="Y80" s="2"/>
      <c r="Z80" s="2"/>
      <c r="AA80" s="2"/>
      <c r="AB80" s="2"/>
      <c r="AC80" s="2"/>
      <c r="AD80" s="2"/>
      <c r="AE80" s="2"/>
    </row>
    <row r="81" spans="6:31" ht="12.75" x14ac:dyDescent="0.2">
      <c r="F81" s="2"/>
      <c r="I81" s="2"/>
      <c r="J81" s="2"/>
      <c r="M81" s="2"/>
      <c r="N81" s="2"/>
      <c r="W81" s="2"/>
      <c r="X81" s="2"/>
      <c r="Y81" s="2"/>
      <c r="Z81" s="2"/>
      <c r="AA81" s="2"/>
      <c r="AB81" s="2"/>
      <c r="AC81" s="2"/>
      <c r="AD81" s="2"/>
      <c r="AE81" s="2"/>
    </row>
    <row r="82" spans="6:31" ht="12.75" x14ac:dyDescent="0.2">
      <c r="F82" s="2"/>
      <c r="I82" s="2"/>
      <c r="J82" s="2"/>
      <c r="M82" s="2"/>
      <c r="N82" s="2"/>
      <c r="W82" s="2"/>
      <c r="X82" s="2"/>
      <c r="Y82" s="2"/>
      <c r="Z82" s="2"/>
      <c r="AA82" s="2"/>
      <c r="AB82" s="2"/>
      <c r="AC82" s="2"/>
      <c r="AD82" s="2"/>
      <c r="AE82" s="2"/>
    </row>
    <row r="83" spans="6:31" ht="12.75" x14ac:dyDescent="0.2">
      <c r="F83" s="2"/>
      <c r="I83" s="2"/>
      <c r="J83" s="2"/>
      <c r="M83" s="2"/>
      <c r="N83" s="2"/>
      <c r="W83" s="2"/>
      <c r="X83" s="2"/>
      <c r="Y83" s="2"/>
      <c r="Z83" s="2"/>
      <c r="AA83" s="2"/>
      <c r="AB83" s="2"/>
      <c r="AC83" s="2"/>
      <c r="AD83" s="2"/>
      <c r="AE83" s="2"/>
    </row>
    <row r="84" spans="6:31" ht="12.75" x14ac:dyDescent="0.2">
      <c r="F84" s="2"/>
      <c r="I84" s="2"/>
      <c r="J84" s="2"/>
      <c r="M84" s="2"/>
      <c r="N84" s="2"/>
      <c r="W84" s="2"/>
      <c r="X84" s="2"/>
      <c r="Y84" s="2"/>
      <c r="Z84" s="2"/>
      <c r="AA84" s="2"/>
      <c r="AB84" s="2"/>
      <c r="AC84" s="2"/>
      <c r="AD84" s="2"/>
      <c r="AE84" s="2"/>
    </row>
    <row r="85" spans="6:31" ht="12.75" x14ac:dyDescent="0.2">
      <c r="F85" s="2"/>
      <c r="I85" s="2"/>
      <c r="J85" s="2"/>
      <c r="M85" s="2"/>
      <c r="N85" s="2"/>
      <c r="W85" s="2"/>
      <c r="X85" s="2"/>
      <c r="Y85" s="2"/>
      <c r="Z85" s="2"/>
      <c r="AA85" s="2"/>
      <c r="AB85" s="2"/>
      <c r="AC85" s="2"/>
      <c r="AD85" s="2"/>
      <c r="AE85" s="2"/>
    </row>
    <row r="86" spans="6:31" ht="12.75" x14ac:dyDescent="0.2">
      <c r="F86" s="2"/>
      <c r="I86" s="2"/>
      <c r="J86" s="2"/>
      <c r="M86" s="2"/>
      <c r="N86" s="2"/>
      <c r="W86" s="2"/>
      <c r="X86" s="2"/>
      <c r="Y86" s="2"/>
      <c r="Z86" s="2"/>
      <c r="AA86" s="2"/>
      <c r="AB86" s="2"/>
      <c r="AC86" s="2"/>
      <c r="AD86" s="2"/>
      <c r="AE86" s="2"/>
    </row>
    <row r="87" spans="6:31" ht="12.75" x14ac:dyDescent="0.2">
      <c r="F87" s="2"/>
      <c r="I87" s="2"/>
      <c r="J87" s="2"/>
      <c r="M87" s="2"/>
      <c r="N87" s="2"/>
      <c r="W87" s="2"/>
      <c r="X87" s="2"/>
      <c r="Y87" s="2"/>
      <c r="Z87" s="2"/>
      <c r="AA87" s="2"/>
      <c r="AB87" s="2"/>
      <c r="AC87" s="2"/>
      <c r="AD87" s="2"/>
      <c r="AE87" s="2"/>
    </row>
    <row r="88" spans="6:31" ht="12.75" x14ac:dyDescent="0.2">
      <c r="F88" s="2"/>
      <c r="I88" s="2"/>
      <c r="J88" s="2"/>
      <c r="M88" s="2"/>
      <c r="N88" s="2"/>
      <c r="W88" s="2"/>
      <c r="X88" s="2"/>
      <c r="Y88" s="2"/>
      <c r="Z88" s="2"/>
      <c r="AA88" s="2"/>
      <c r="AB88" s="2"/>
      <c r="AC88" s="2"/>
      <c r="AD88" s="2"/>
      <c r="AE88" s="2"/>
    </row>
    <row r="89" spans="6:31" ht="12.75" x14ac:dyDescent="0.2">
      <c r="F89" s="2"/>
      <c r="I89" s="2"/>
      <c r="J89" s="2"/>
      <c r="M89" s="2"/>
      <c r="N89" s="2"/>
      <c r="W89" s="2"/>
      <c r="X89" s="2"/>
      <c r="Y89" s="2"/>
      <c r="Z89" s="2"/>
      <c r="AA89" s="2"/>
      <c r="AB89" s="2"/>
      <c r="AC89" s="2"/>
      <c r="AD89" s="2"/>
      <c r="AE89" s="2"/>
    </row>
    <row r="90" spans="6:31" ht="12.75" x14ac:dyDescent="0.2">
      <c r="F90" s="2"/>
      <c r="I90" s="2"/>
      <c r="J90" s="2"/>
      <c r="M90" s="2"/>
      <c r="N90" s="2"/>
      <c r="W90" s="2"/>
      <c r="X90" s="2"/>
      <c r="Y90" s="2"/>
      <c r="Z90" s="2"/>
      <c r="AA90" s="2"/>
      <c r="AB90" s="2"/>
      <c r="AC90" s="2"/>
      <c r="AD90" s="2"/>
      <c r="AE90" s="2"/>
    </row>
    <row r="91" spans="6:31" ht="12.75" x14ac:dyDescent="0.2">
      <c r="F91" s="2"/>
      <c r="I91" s="2"/>
      <c r="J91" s="2"/>
      <c r="M91" s="2"/>
      <c r="N91" s="2"/>
      <c r="W91" s="2"/>
      <c r="X91" s="2"/>
      <c r="Y91" s="2"/>
      <c r="Z91" s="2"/>
      <c r="AA91" s="2"/>
      <c r="AB91" s="2"/>
      <c r="AC91" s="2"/>
      <c r="AD91" s="2"/>
      <c r="AE91" s="2"/>
    </row>
    <row r="92" spans="6:31" ht="12.75" x14ac:dyDescent="0.2">
      <c r="F92" s="2"/>
      <c r="I92" s="2"/>
      <c r="J92" s="2"/>
      <c r="M92" s="2"/>
      <c r="N92" s="2"/>
      <c r="W92" s="2"/>
      <c r="X92" s="2"/>
      <c r="Y92" s="2"/>
      <c r="Z92" s="2"/>
      <c r="AA92" s="2"/>
      <c r="AB92" s="2"/>
      <c r="AC92" s="2"/>
      <c r="AD92" s="2"/>
      <c r="AE92" s="2"/>
    </row>
    <row r="93" spans="6:31" ht="12.75" x14ac:dyDescent="0.2">
      <c r="F93" s="2"/>
      <c r="I93" s="2"/>
      <c r="J93" s="2"/>
      <c r="M93" s="2"/>
      <c r="N93" s="2"/>
      <c r="W93" s="2"/>
      <c r="X93" s="2"/>
      <c r="Y93" s="2"/>
      <c r="Z93" s="2"/>
      <c r="AA93" s="2"/>
      <c r="AB93" s="2"/>
      <c r="AC93" s="2"/>
      <c r="AD93" s="2"/>
      <c r="AE93" s="2"/>
    </row>
    <row r="94" spans="6:31" ht="12.75" x14ac:dyDescent="0.2">
      <c r="F94" s="2"/>
      <c r="I94" s="2"/>
      <c r="J94" s="2"/>
      <c r="M94" s="2"/>
      <c r="N94" s="2"/>
      <c r="W94" s="2"/>
      <c r="X94" s="2"/>
      <c r="Y94" s="2"/>
      <c r="Z94" s="2"/>
      <c r="AA94" s="2"/>
      <c r="AB94" s="2"/>
      <c r="AC94" s="2"/>
      <c r="AD94" s="2"/>
      <c r="AE94" s="2"/>
    </row>
    <row r="95" spans="6:31" ht="12.75" x14ac:dyDescent="0.2">
      <c r="F95" s="2"/>
      <c r="I95" s="2"/>
      <c r="J95" s="2"/>
      <c r="M95" s="2"/>
      <c r="N95" s="2"/>
      <c r="W95" s="2"/>
      <c r="X95" s="2"/>
      <c r="Y95" s="2"/>
      <c r="Z95" s="2"/>
      <c r="AA95" s="2"/>
      <c r="AB95" s="2"/>
      <c r="AC95" s="2"/>
      <c r="AD95" s="2"/>
      <c r="AE95" s="2"/>
    </row>
    <row r="96" spans="6:31" ht="12.75" x14ac:dyDescent="0.2">
      <c r="F96" s="2"/>
      <c r="I96" s="2"/>
      <c r="J96" s="2"/>
      <c r="M96" s="2"/>
      <c r="N96" s="2"/>
      <c r="W96" s="2"/>
      <c r="X96" s="2"/>
      <c r="Y96" s="2"/>
      <c r="Z96" s="2"/>
      <c r="AA96" s="2"/>
      <c r="AB96" s="2"/>
      <c r="AC96" s="2"/>
      <c r="AD96" s="2"/>
      <c r="AE96" s="2"/>
    </row>
    <row r="97" spans="6:31" ht="12.75" x14ac:dyDescent="0.2">
      <c r="F97" s="2"/>
      <c r="I97" s="2"/>
      <c r="J97" s="2"/>
      <c r="M97" s="2"/>
      <c r="N97" s="2"/>
      <c r="W97" s="2"/>
      <c r="X97" s="2"/>
      <c r="Y97" s="2"/>
      <c r="Z97" s="2"/>
      <c r="AA97" s="2"/>
      <c r="AB97" s="2"/>
      <c r="AC97" s="2"/>
      <c r="AD97" s="2"/>
      <c r="AE97" s="2"/>
    </row>
    <row r="98" spans="6:31" ht="12.75" x14ac:dyDescent="0.2">
      <c r="F98" s="2"/>
      <c r="I98" s="2"/>
      <c r="J98" s="2"/>
      <c r="M98" s="2"/>
      <c r="N98" s="2"/>
      <c r="W98" s="2"/>
      <c r="X98" s="2"/>
      <c r="Y98" s="2"/>
      <c r="Z98" s="2"/>
      <c r="AA98" s="2"/>
      <c r="AB98" s="2"/>
      <c r="AC98" s="2"/>
      <c r="AD98" s="2"/>
      <c r="AE98" s="2"/>
    </row>
    <row r="99" spans="6:31" ht="12.75" x14ac:dyDescent="0.2">
      <c r="F99" s="2"/>
      <c r="I99" s="2"/>
      <c r="J99" s="2"/>
      <c r="M99" s="2"/>
      <c r="N99" s="2"/>
      <c r="W99" s="2"/>
      <c r="X99" s="2"/>
      <c r="Y99" s="2"/>
      <c r="Z99" s="2"/>
      <c r="AA99" s="2"/>
      <c r="AB99" s="2"/>
      <c r="AC99" s="2"/>
      <c r="AD99" s="2"/>
      <c r="AE99" s="2"/>
    </row>
    <row r="100" spans="6:31" ht="12.75" x14ac:dyDescent="0.2">
      <c r="F100" s="2"/>
      <c r="I100" s="2"/>
      <c r="J100" s="2"/>
      <c r="M100" s="2"/>
      <c r="N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6:31" ht="12.75" x14ac:dyDescent="0.2">
      <c r="F101" s="2"/>
      <c r="I101" s="2"/>
      <c r="J101" s="2"/>
      <c r="M101" s="2"/>
      <c r="N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6:31" ht="12.75" x14ac:dyDescent="0.2">
      <c r="F102" s="2"/>
      <c r="I102" s="2"/>
      <c r="J102" s="2"/>
      <c r="M102" s="2"/>
      <c r="N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6:31" ht="12.75" x14ac:dyDescent="0.2">
      <c r="F103" s="2"/>
      <c r="I103" s="2"/>
      <c r="J103" s="2"/>
      <c r="M103" s="2"/>
      <c r="N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6:31" ht="12.75" x14ac:dyDescent="0.2">
      <c r="F104" s="2"/>
      <c r="I104" s="2"/>
      <c r="J104" s="2"/>
      <c r="M104" s="2"/>
      <c r="N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6:31" ht="12.75" x14ac:dyDescent="0.2">
      <c r="F105" s="2"/>
      <c r="I105" s="2"/>
      <c r="J105" s="2"/>
      <c r="M105" s="2"/>
      <c r="N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6:31" ht="12.75" x14ac:dyDescent="0.2">
      <c r="F106" s="2"/>
      <c r="I106" s="2"/>
      <c r="J106" s="2"/>
      <c r="M106" s="2"/>
      <c r="N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6:31" ht="12.75" x14ac:dyDescent="0.2">
      <c r="F107" s="2"/>
      <c r="I107" s="2"/>
      <c r="J107" s="2"/>
      <c r="M107" s="2"/>
      <c r="N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6:31" ht="12.75" x14ac:dyDescent="0.2">
      <c r="F108" s="2"/>
      <c r="I108" s="2"/>
      <c r="J108" s="2"/>
      <c r="M108" s="2"/>
      <c r="N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6:31" ht="12.75" x14ac:dyDescent="0.2">
      <c r="F109" s="2"/>
      <c r="I109" s="2"/>
      <c r="J109" s="2"/>
      <c r="M109" s="2"/>
      <c r="N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6:31" ht="12.75" x14ac:dyDescent="0.2">
      <c r="F110" s="2"/>
      <c r="I110" s="2"/>
      <c r="J110" s="2"/>
      <c r="M110" s="2"/>
      <c r="N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6:31" ht="12.75" x14ac:dyDescent="0.2">
      <c r="F111" s="2"/>
      <c r="I111" s="2"/>
      <c r="J111" s="2"/>
      <c r="M111" s="2"/>
      <c r="N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6:31" ht="12.75" x14ac:dyDescent="0.2">
      <c r="F112" s="2"/>
      <c r="I112" s="2"/>
      <c r="J112" s="2"/>
      <c r="M112" s="2"/>
      <c r="N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6:31" ht="12.75" x14ac:dyDescent="0.2">
      <c r="F113" s="2"/>
      <c r="I113" s="2"/>
      <c r="J113" s="2"/>
      <c r="M113" s="2"/>
      <c r="N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6:31" ht="12.75" x14ac:dyDescent="0.2">
      <c r="F114" s="2"/>
      <c r="I114" s="2"/>
      <c r="J114" s="2"/>
      <c r="M114" s="2"/>
      <c r="N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6:31" ht="12.75" x14ac:dyDescent="0.2">
      <c r="F115" s="2"/>
      <c r="I115" s="2"/>
      <c r="J115" s="2"/>
      <c r="M115" s="2"/>
      <c r="N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6:31" ht="12.75" x14ac:dyDescent="0.2">
      <c r="F116" s="2"/>
      <c r="I116" s="2"/>
      <c r="J116" s="2"/>
      <c r="M116" s="2"/>
      <c r="N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6:31" ht="12.75" x14ac:dyDescent="0.2">
      <c r="F117" s="2"/>
      <c r="I117" s="2"/>
      <c r="J117" s="2"/>
      <c r="M117" s="2"/>
      <c r="N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6:31" ht="12.75" x14ac:dyDescent="0.2">
      <c r="F118" s="2"/>
      <c r="I118" s="2"/>
      <c r="J118" s="2"/>
      <c r="M118" s="2"/>
      <c r="N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6:31" ht="12.75" x14ac:dyDescent="0.2">
      <c r="F119" s="2"/>
      <c r="I119" s="2"/>
      <c r="J119" s="2"/>
      <c r="M119" s="2"/>
      <c r="N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6:31" ht="12.75" x14ac:dyDescent="0.2">
      <c r="F120" s="2"/>
      <c r="I120" s="2"/>
      <c r="J120" s="2"/>
      <c r="M120" s="2"/>
      <c r="N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6:31" ht="12.75" x14ac:dyDescent="0.2">
      <c r="F121" s="2"/>
      <c r="I121" s="2"/>
      <c r="J121" s="2"/>
      <c r="M121" s="2"/>
      <c r="N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6:31" ht="12.75" x14ac:dyDescent="0.2">
      <c r="F122" s="2"/>
      <c r="I122" s="2"/>
      <c r="J122" s="2"/>
      <c r="M122" s="2"/>
      <c r="N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6:31" ht="12.75" x14ac:dyDescent="0.2">
      <c r="F123" s="2"/>
      <c r="I123" s="2"/>
      <c r="J123" s="2"/>
      <c r="M123" s="2"/>
      <c r="N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6:31" ht="12.75" x14ac:dyDescent="0.2">
      <c r="F124" s="2"/>
      <c r="I124" s="2"/>
      <c r="J124" s="2"/>
      <c r="M124" s="2"/>
      <c r="N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6:31" ht="12.75" x14ac:dyDescent="0.2">
      <c r="F125" s="2"/>
      <c r="I125" s="2"/>
      <c r="J125" s="2"/>
      <c r="M125" s="2"/>
      <c r="N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6:31" ht="12.75" x14ac:dyDescent="0.2">
      <c r="F126" s="2"/>
      <c r="I126" s="2"/>
      <c r="J126" s="2"/>
      <c r="M126" s="2"/>
      <c r="N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6:31" ht="12.75" x14ac:dyDescent="0.2">
      <c r="F127" s="2"/>
      <c r="I127" s="2"/>
      <c r="J127" s="2"/>
      <c r="M127" s="2"/>
      <c r="N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6:31" ht="12.75" x14ac:dyDescent="0.2">
      <c r="F128" s="2"/>
      <c r="I128" s="2"/>
      <c r="J128" s="2"/>
      <c r="M128" s="2"/>
      <c r="N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6:31" ht="12.75" x14ac:dyDescent="0.2">
      <c r="F129" s="2"/>
      <c r="I129" s="2"/>
      <c r="J129" s="2"/>
      <c r="M129" s="2"/>
      <c r="N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6:31" ht="12.75" x14ac:dyDescent="0.2">
      <c r="F130" s="2"/>
      <c r="I130" s="2"/>
      <c r="J130" s="2"/>
      <c r="M130" s="2"/>
      <c r="N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6:31" ht="12.75" x14ac:dyDescent="0.2">
      <c r="F131" s="2"/>
      <c r="I131" s="2"/>
      <c r="J131" s="2"/>
      <c r="M131" s="2"/>
      <c r="N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6:31" ht="12.75" x14ac:dyDescent="0.2">
      <c r="F132" s="2"/>
      <c r="I132" s="2"/>
      <c r="J132" s="2"/>
      <c r="M132" s="2"/>
      <c r="N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6:31" ht="12.75" x14ac:dyDescent="0.2">
      <c r="F133" s="2"/>
      <c r="I133" s="2"/>
      <c r="J133" s="2"/>
      <c r="M133" s="2"/>
      <c r="N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6:31" ht="12.75" x14ac:dyDescent="0.2">
      <c r="F134" s="2"/>
      <c r="I134" s="2"/>
      <c r="J134" s="2"/>
      <c r="M134" s="2"/>
      <c r="N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6:31" ht="12.75" x14ac:dyDescent="0.2">
      <c r="F135" s="2"/>
      <c r="I135" s="2"/>
      <c r="J135" s="2"/>
      <c r="M135" s="2"/>
      <c r="N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6:31" ht="12.75" x14ac:dyDescent="0.2">
      <c r="F136" s="2"/>
      <c r="I136" s="2"/>
      <c r="J136" s="2"/>
      <c r="M136" s="2"/>
      <c r="N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6:31" ht="12.75" x14ac:dyDescent="0.2">
      <c r="F137" s="2"/>
      <c r="I137" s="2"/>
      <c r="J137" s="2"/>
      <c r="M137" s="2"/>
      <c r="N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6:31" ht="12.75" x14ac:dyDescent="0.2">
      <c r="F138" s="2"/>
      <c r="I138" s="2"/>
      <c r="J138" s="2"/>
      <c r="M138" s="2"/>
      <c r="N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6:31" ht="12.75" x14ac:dyDescent="0.2">
      <c r="F139" s="2"/>
      <c r="I139" s="2"/>
      <c r="J139" s="2"/>
      <c r="M139" s="2"/>
      <c r="N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6:31" ht="12.75" x14ac:dyDescent="0.2">
      <c r="F140" s="2"/>
      <c r="I140" s="2"/>
      <c r="J140" s="2"/>
      <c r="M140" s="2"/>
      <c r="N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6:31" ht="12.75" x14ac:dyDescent="0.2">
      <c r="F141" s="2"/>
      <c r="I141" s="2"/>
      <c r="J141" s="2"/>
      <c r="M141" s="2"/>
      <c r="N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6:31" ht="12.75" x14ac:dyDescent="0.2">
      <c r="F142" s="2"/>
      <c r="I142" s="2"/>
      <c r="J142" s="2"/>
      <c r="M142" s="2"/>
      <c r="N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6:31" ht="12.75" x14ac:dyDescent="0.2">
      <c r="F143" s="2"/>
      <c r="I143" s="2"/>
      <c r="J143" s="2"/>
      <c r="M143" s="2"/>
      <c r="N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6:31" ht="12.75" x14ac:dyDescent="0.2">
      <c r="F144" s="2"/>
      <c r="I144" s="2"/>
      <c r="J144" s="2"/>
      <c r="M144" s="2"/>
      <c r="N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6:31" ht="12.75" x14ac:dyDescent="0.2">
      <c r="F145" s="2"/>
      <c r="I145" s="2"/>
      <c r="J145" s="2"/>
      <c r="M145" s="2"/>
      <c r="N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6:31" ht="12.75" x14ac:dyDescent="0.2">
      <c r="F146" s="2"/>
      <c r="I146" s="2"/>
      <c r="J146" s="2"/>
      <c r="M146" s="2"/>
      <c r="N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6:31" ht="12.75" x14ac:dyDescent="0.2">
      <c r="F147" s="2"/>
      <c r="I147" s="2"/>
      <c r="J147" s="2"/>
      <c r="M147" s="2"/>
      <c r="N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6:31" ht="12.75" x14ac:dyDescent="0.2">
      <c r="F148" s="2"/>
      <c r="I148" s="2"/>
      <c r="J148" s="2"/>
      <c r="M148" s="2"/>
      <c r="N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6:31" ht="12.75" x14ac:dyDescent="0.2">
      <c r="F149" s="2"/>
      <c r="I149" s="2"/>
      <c r="J149" s="2"/>
      <c r="M149" s="2"/>
      <c r="N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6:31" ht="12.75" x14ac:dyDescent="0.2">
      <c r="F150" s="2"/>
      <c r="I150" s="2"/>
      <c r="J150" s="2"/>
      <c r="M150" s="2"/>
      <c r="N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6:31" ht="12.75" x14ac:dyDescent="0.2">
      <c r="F151" s="2"/>
      <c r="I151" s="2"/>
      <c r="J151" s="2"/>
      <c r="M151" s="2"/>
      <c r="N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6:31" ht="12.75" x14ac:dyDescent="0.2">
      <c r="F152" s="2"/>
      <c r="I152" s="2"/>
      <c r="J152" s="2"/>
      <c r="M152" s="2"/>
      <c r="N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6:31" ht="12.75" x14ac:dyDescent="0.2">
      <c r="F153" s="2"/>
      <c r="I153" s="2"/>
      <c r="J153" s="2"/>
      <c r="M153" s="2"/>
      <c r="N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6:31" ht="12.75" x14ac:dyDescent="0.2">
      <c r="F154" s="2"/>
      <c r="I154" s="2"/>
      <c r="J154" s="2"/>
      <c r="M154" s="2"/>
      <c r="N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6:31" ht="12.75" x14ac:dyDescent="0.2">
      <c r="F155" s="2"/>
      <c r="I155" s="2"/>
      <c r="J155" s="2"/>
      <c r="M155" s="2"/>
      <c r="N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6:31" ht="12.75" x14ac:dyDescent="0.2">
      <c r="F156" s="2"/>
      <c r="I156" s="2"/>
      <c r="J156" s="2"/>
      <c r="M156" s="2"/>
      <c r="N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6:31" ht="12.75" x14ac:dyDescent="0.2">
      <c r="F157" s="2"/>
      <c r="I157" s="2"/>
      <c r="J157" s="2"/>
      <c r="M157" s="2"/>
      <c r="N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6:31" ht="12.75" x14ac:dyDescent="0.2">
      <c r="F158" s="2"/>
      <c r="I158" s="2"/>
      <c r="J158" s="2"/>
      <c r="M158" s="2"/>
      <c r="N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6:31" ht="12.75" x14ac:dyDescent="0.2">
      <c r="F159" s="2"/>
      <c r="I159" s="2"/>
      <c r="J159" s="2"/>
      <c r="M159" s="2"/>
      <c r="N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6:31" ht="12.75" x14ac:dyDescent="0.2">
      <c r="F160" s="2"/>
      <c r="I160" s="2"/>
      <c r="J160" s="2"/>
      <c r="M160" s="2"/>
      <c r="N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6:31" ht="12.75" x14ac:dyDescent="0.2">
      <c r="F161" s="2"/>
      <c r="I161" s="2"/>
      <c r="J161" s="2"/>
      <c r="M161" s="2"/>
      <c r="N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6:31" ht="12.75" x14ac:dyDescent="0.2">
      <c r="F162" s="2"/>
      <c r="I162" s="2"/>
      <c r="J162" s="2"/>
      <c r="M162" s="2"/>
      <c r="N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6:31" ht="12.75" x14ac:dyDescent="0.2">
      <c r="F163" s="2"/>
      <c r="I163" s="2"/>
      <c r="J163" s="2"/>
      <c r="M163" s="2"/>
      <c r="N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6:31" ht="12.75" x14ac:dyDescent="0.2">
      <c r="F164" s="2"/>
      <c r="I164" s="2"/>
      <c r="J164" s="2"/>
      <c r="M164" s="2"/>
      <c r="N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6:31" ht="12.75" x14ac:dyDescent="0.2">
      <c r="F165" s="2"/>
      <c r="I165" s="2"/>
      <c r="J165" s="2"/>
      <c r="M165" s="2"/>
      <c r="N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6:31" ht="12.75" x14ac:dyDescent="0.2">
      <c r="F166" s="2"/>
      <c r="I166" s="2"/>
      <c r="J166" s="2"/>
      <c r="M166" s="2"/>
      <c r="N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6:31" ht="12.75" x14ac:dyDescent="0.2">
      <c r="F167" s="2"/>
      <c r="I167" s="2"/>
      <c r="J167" s="2"/>
      <c r="M167" s="2"/>
      <c r="N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6:31" ht="12.75" x14ac:dyDescent="0.2">
      <c r="F168" s="2"/>
      <c r="I168" s="2"/>
      <c r="J168" s="2"/>
      <c r="M168" s="2"/>
      <c r="N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6:31" ht="12.75" x14ac:dyDescent="0.2">
      <c r="F169" s="2"/>
      <c r="I169" s="2"/>
      <c r="J169" s="2"/>
      <c r="M169" s="2"/>
      <c r="N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6:31" ht="12.75" x14ac:dyDescent="0.2">
      <c r="F170" s="2"/>
      <c r="I170" s="2"/>
      <c r="J170" s="2"/>
      <c r="M170" s="2"/>
      <c r="N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6:31" ht="12.75" x14ac:dyDescent="0.2">
      <c r="F171" s="2"/>
      <c r="I171" s="2"/>
      <c r="J171" s="2"/>
      <c r="M171" s="2"/>
      <c r="N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6:31" ht="12.75" x14ac:dyDescent="0.2">
      <c r="F172" s="2"/>
      <c r="I172" s="2"/>
      <c r="J172" s="2"/>
      <c r="M172" s="2"/>
      <c r="N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6:31" ht="12.75" x14ac:dyDescent="0.2">
      <c r="F173" s="2"/>
      <c r="I173" s="2"/>
      <c r="J173" s="2"/>
      <c r="M173" s="2"/>
      <c r="N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6:31" ht="12.75" x14ac:dyDescent="0.2">
      <c r="F174" s="2"/>
      <c r="I174" s="2"/>
      <c r="J174" s="2"/>
      <c r="M174" s="2"/>
      <c r="N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6:31" ht="12.75" x14ac:dyDescent="0.2">
      <c r="F175" s="2"/>
      <c r="I175" s="2"/>
      <c r="J175" s="2"/>
      <c r="M175" s="2"/>
      <c r="N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6:31" ht="12.75" x14ac:dyDescent="0.2">
      <c r="F176" s="2"/>
      <c r="I176" s="2"/>
      <c r="J176" s="2"/>
      <c r="M176" s="2"/>
      <c r="N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6:31" ht="12.75" x14ac:dyDescent="0.2">
      <c r="F177" s="2"/>
      <c r="I177" s="2"/>
      <c r="J177" s="2"/>
      <c r="M177" s="2"/>
      <c r="N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6:31" ht="12.75" x14ac:dyDescent="0.2">
      <c r="F178" s="2"/>
      <c r="I178" s="2"/>
      <c r="J178" s="2"/>
      <c r="M178" s="2"/>
      <c r="N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6:31" ht="12.75" x14ac:dyDescent="0.2">
      <c r="F179" s="2"/>
      <c r="I179" s="2"/>
      <c r="J179" s="2"/>
      <c r="M179" s="2"/>
      <c r="N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6:31" ht="12.75" x14ac:dyDescent="0.2">
      <c r="F180" s="2"/>
      <c r="I180" s="2"/>
      <c r="J180" s="2"/>
      <c r="M180" s="2"/>
      <c r="N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6:31" ht="12.75" x14ac:dyDescent="0.2">
      <c r="F181" s="2"/>
      <c r="I181" s="2"/>
      <c r="J181" s="2"/>
      <c r="M181" s="2"/>
      <c r="N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6:31" ht="12.75" x14ac:dyDescent="0.2">
      <c r="F182" s="2"/>
      <c r="I182" s="2"/>
      <c r="J182" s="2"/>
      <c r="M182" s="2"/>
      <c r="N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6:31" ht="12.75" x14ac:dyDescent="0.2">
      <c r="F183" s="2"/>
      <c r="I183" s="2"/>
      <c r="J183" s="2"/>
      <c r="M183" s="2"/>
      <c r="N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6:31" ht="12.75" x14ac:dyDescent="0.2">
      <c r="F184" s="2"/>
      <c r="I184" s="2"/>
      <c r="J184" s="2"/>
      <c r="M184" s="2"/>
      <c r="N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6:31" ht="12.75" x14ac:dyDescent="0.2">
      <c r="F185" s="2"/>
      <c r="I185" s="2"/>
      <c r="J185" s="2"/>
      <c r="M185" s="2"/>
      <c r="N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6:31" ht="12.75" x14ac:dyDescent="0.2">
      <c r="F186" s="2"/>
      <c r="I186" s="2"/>
      <c r="J186" s="2"/>
      <c r="M186" s="2"/>
      <c r="N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6:31" ht="12.75" x14ac:dyDescent="0.2">
      <c r="F187" s="2"/>
      <c r="I187" s="2"/>
      <c r="J187" s="2"/>
      <c r="M187" s="2"/>
      <c r="N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6:31" ht="12.75" x14ac:dyDescent="0.2">
      <c r="F188" s="2"/>
      <c r="I188" s="2"/>
      <c r="J188" s="2"/>
      <c r="M188" s="2"/>
      <c r="N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6:31" ht="12.75" x14ac:dyDescent="0.2">
      <c r="F189" s="2"/>
      <c r="I189" s="2"/>
      <c r="J189" s="2"/>
      <c r="M189" s="2"/>
      <c r="N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6:31" ht="12.75" x14ac:dyDescent="0.2">
      <c r="F190" s="2"/>
      <c r="I190" s="2"/>
      <c r="J190" s="2"/>
      <c r="M190" s="2"/>
      <c r="N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6:31" ht="12.75" x14ac:dyDescent="0.2">
      <c r="F191" s="2"/>
      <c r="I191" s="2"/>
      <c r="J191" s="2"/>
      <c r="M191" s="2"/>
      <c r="N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6:31" ht="12.75" x14ac:dyDescent="0.2">
      <c r="F192" s="2"/>
      <c r="I192" s="2"/>
      <c r="J192" s="2"/>
      <c r="M192" s="2"/>
      <c r="N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6:31" ht="12.75" x14ac:dyDescent="0.2">
      <c r="F193" s="2"/>
      <c r="I193" s="2"/>
      <c r="J193" s="2"/>
      <c r="M193" s="2"/>
      <c r="N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6:31" ht="12.75" x14ac:dyDescent="0.2">
      <c r="F194" s="2"/>
      <c r="I194" s="2"/>
      <c r="J194" s="2"/>
      <c r="M194" s="2"/>
      <c r="N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6:31" ht="12.75" x14ac:dyDescent="0.2">
      <c r="F195" s="2"/>
      <c r="I195" s="2"/>
      <c r="J195" s="2"/>
      <c r="M195" s="2"/>
      <c r="N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6:31" ht="12.75" x14ac:dyDescent="0.2">
      <c r="F196" s="2"/>
      <c r="I196" s="2"/>
      <c r="J196" s="2"/>
      <c r="M196" s="2"/>
      <c r="N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6:31" ht="12.75" x14ac:dyDescent="0.2">
      <c r="F197" s="2"/>
      <c r="I197" s="2"/>
      <c r="J197" s="2"/>
      <c r="M197" s="2"/>
      <c r="N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6:31" ht="12.75" x14ac:dyDescent="0.2">
      <c r="F198" s="2"/>
      <c r="I198" s="2"/>
      <c r="J198" s="2"/>
      <c r="M198" s="2"/>
      <c r="N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6:31" ht="12.75" x14ac:dyDescent="0.2">
      <c r="F199" s="2"/>
      <c r="I199" s="2"/>
      <c r="J199" s="2"/>
      <c r="M199" s="2"/>
      <c r="N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6:31" ht="12.75" x14ac:dyDescent="0.2">
      <c r="F200" s="2"/>
      <c r="I200" s="2"/>
      <c r="J200" s="2"/>
      <c r="M200" s="2"/>
      <c r="N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6:31" ht="12.75" x14ac:dyDescent="0.2">
      <c r="F201" s="2"/>
      <c r="I201" s="2"/>
      <c r="J201" s="2"/>
      <c r="M201" s="2"/>
      <c r="N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6:31" ht="12.75" x14ac:dyDescent="0.2">
      <c r="F202" s="2"/>
      <c r="I202" s="2"/>
      <c r="J202" s="2"/>
      <c r="M202" s="2"/>
      <c r="N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6:31" ht="12.75" x14ac:dyDescent="0.2">
      <c r="F203" s="2"/>
      <c r="I203" s="2"/>
      <c r="J203" s="2"/>
      <c r="M203" s="2"/>
      <c r="N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6:31" ht="12.75" x14ac:dyDescent="0.2">
      <c r="F204" s="2"/>
      <c r="I204" s="2"/>
      <c r="J204" s="2"/>
      <c r="M204" s="2"/>
      <c r="N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6:31" ht="12.75" x14ac:dyDescent="0.2">
      <c r="F205" s="2"/>
      <c r="I205" s="2"/>
      <c r="J205" s="2"/>
      <c r="M205" s="2"/>
      <c r="N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6:31" ht="12.75" x14ac:dyDescent="0.2">
      <c r="F206" s="2"/>
      <c r="I206" s="2"/>
      <c r="J206" s="2"/>
      <c r="M206" s="2"/>
      <c r="N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6:31" ht="12.75" x14ac:dyDescent="0.2">
      <c r="F207" s="2"/>
      <c r="I207" s="2"/>
      <c r="J207" s="2"/>
      <c r="M207" s="2"/>
      <c r="N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6:31" ht="12.75" x14ac:dyDescent="0.2">
      <c r="F208" s="2"/>
      <c r="I208" s="2"/>
      <c r="J208" s="2"/>
      <c r="M208" s="2"/>
      <c r="N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6:31" ht="12.75" x14ac:dyDescent="0.2">
      <c r="F209" s="2"/>
      <c r="I209" s="2"/>
      <c r="J209" s="2"/>
      <c r="M209" s="2"/>
      <c r="N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6:31" ht="12.75" x14ac:dyDescent="0.2">
      <c r="F210" s="2"/>
      <c r="I210" s="2"/>
      <c r="J210" s="2"/>
      <c r="M210" s="2"/>
      <c r="N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6:31" ht="12.75" x14ac:dyDescent="0.2">
      <c r="F211" s="2"/>
      <c r="I211" s="2"/>
      <c r="J211" s="2"/>
      <c r="M211" s="2"/>
      <c r="N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6:31" ht="12.75" x14ac:dyDescent="0.2">
      <c r="F212" s="2"/>
      <c r="I212" s="2"/>
      <c r="J212" s="2"/>
      <c r="M212" s="2"/>
      <c r="N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6:31" ht="12.75" x14ac:dyDescent="0.2">
      <c r="F213" s="2"/>
      <c r="I213" s="2"/>
      <c r="J213" s="2"/>
      <c r="M213" s="2"/>
      <c r="N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6:31" ht="12.75" x14ac:dyDescent="0.2">
      <c r="F214" s="2"/>
      <c r="I214" s="2"/>
      <c r="J214" s="2"/>
      <c r="M214" s="2"/>
      <c r="N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6:31" ht="12.75" x14ac:dyDescent="0.2">
      <c r="F215" s="2"/>
      <c r="I215" s="2"/>
      <c r="J215" s="2"/>
      <c r="M215" s="2"/>
      <c r="N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6:31" ht="12.75" x14ac:dyDescent="0.2">
      <c r="F216" s="2"/>
      <c r="I216" s="2"/>
      <c r="J216" s="2"/>
      <c r="M216" s="2"/>
      <c r="N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6:31" ht="12.75" x14ac:dyDescent="0.2">
      <c r="F217" s="2"/>
      <c r="I217" s="2"/>
      <c r="J217" s="2"/>
      <c r="M217" s="2"/>
      <c r="N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6:31" ht="12.75" x14ac:dyDescent="0.2">
      <c r="F218" s="2"/>
      <c r="I218" s="2"/>
      <c r="J218" s="2"/>
      <c r="M218" s="2"/>
      <c r="N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6:31" ht="12.75" x14ac:dyDescent="0.2">
      <c r="F219" s="2"/>
      <c r="I219" s="2"/>
      <c r="J219" s="2"/>
      <c r="M219" s="2"/>
      <c r="N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6:31" ht="12.75" x14ac:dyDescent="0.2">
      <c r="F220" s="2"/>
      <c r="I220" s="2"/>
      <c r="J220" s="2"/>
      <c r="M220" s="2"/>
      <c r="N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6:31" ht="12.75" x14ac:dyDescent="0.2">
      <c r="F221" s="2"/>
      <c r="I221" s="2"/>
      <c r="J221" s="2"/>
      <c r="M221" s="2"/>
      <c r="N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6:31" ht="12.75" x14ac:dyDescent="0.2">
      <c r="F222" s="2"/>
      <c r="I222" s="2"/>
      <c r="J222" s="2"/>
      <c r="M222" s="2"/>
      <c r="N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6:31" ht="12.75" x14ac:dyDescent="0.2">
      <c r="F223" s="2"/>
      <c r="I223" s="2"/>
      <c r="J223" s="2"/>
      <c r="M223" s="2"/>
      <c r="N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6:31" ht="12.75" x14ac:dyDescent="0.2">
      <c r="F224" s="2"/>
      <c r="I224" s="2"/>
      <c r="J224" s="2"/>
      <c r="M224" s="2"/>
      <c r="N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6:31" ht="12.75" x14ac:dyDescent="0.2">
      <c r="F225" s="2"/>
      <c r="I225" s="2"/>
      <c r="J225" s="2"/>
      <c r="M225" s="2"/>
      <c r="N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6:31" ht="12.75" x14ac:dyDescent="0.2">
      <c r="F226" s="2"/>
      <c r="I226" s="2"/>
      <c r="J226" s="2"/>
      <c r="M226" s="2"/>
      <c r="N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6:31" ht="12.75" x14ac:dyDescent="0.2">
      <c r="F227" s="2"/>
      <c r="I227" s="2"/>
      <c r="J227" s="2"/>
      <c r="M227" s="2"/>
      <c r="N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6:31" ht="12.75" x14ac:dyDescent="0.2">
      <c r="F228" s="2"/>
      <c r="I228" s="2"/>
      <c r="J228" s="2"/>
      <c r="M228" s="2"/>
      <c r="N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6:31" ht="12.75" x14ac:dyDescent="0.2">
      <c r="F229" s="2"/>
      <c r="I229" s="2"/>
      <c r="J229" s="2"/>
      <c r="M229" s="2"/>
      <c r="N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6:31" ht="12.75" x14ac:dyDescent="0.2">
      <c r="F230" s="2"/>
      <c r="I230" s="2"/>
      <c r="J230" s="2"/>
      <c r="M230" s="2"/>
      <c r="N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6:31" ht="12.75" x14ac:dyDescent="0.2">
      <c r="F231" s="2"/>
      <c r="I231" s="2"/>
      <c r="J231" s="2"/>
      <c r="M231" s="2"/>
      <c r="N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6:31" ht="12.75" x14ac:dyDescent="0.2">
      <c r="F232" s="2"/>
      <c r="I232" s="2"/>
      <c r="J232" s="2"/>
      <c r="M232" s="2"/>
      <c r="N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6:31" ht="12.75" x14ac:dyDescent="0.2">
      <c r="F233" s="2"/>
      <c r="I233" s="2"/>
      <c r="J233" s="2"/>
      <c r="M233" s="2"/>
      <c r="N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6:31" ht="12.75" x14ac:dyDescent="0.2">
      <c r="F234" s="2"/>
      <c r="I234" s="2"/>
      <c r="J234" s="2"/>
      <c r="M234" s="2"/>
      <c r="N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6:31" ht="12.75" x14ac:dyDescent="0.2">
      <c r="F235" s="2"/>
      <c r="I235" s="2"/>
      <c r="J235" s="2"/>
      <c r="M235" s="2"/>
      <c r="N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6:31" ht="12.75" x14ac:dyDescent="0.2">
      <c r="F236" s="2"/>
      <c r="I236" s="2"/>
      <c r="J236" s="2"/>
      <c r="M236" s="2"/>
      <c r="N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6:31" ht="12.75" x14ac:dyDescent="0.2">
      <c r="F237" s="2"/>
      <c r="I237" s="2"/>
      <c r="J237" s="2"/>
      <c r="M237" s="2"/>
      <c r="N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6:31" ht="12.75" x14ac:dyDescent="0.2">
      <c r="F238" s="2"/>
      <c r="I238" s="2"/>
      <c r="J238" s="2"/>
      <c r="M238" s="2"/>
      <c r="N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6:31" ht="12.75" x14ac:dyDescent="0.2">
      <c r="F239" s="2"/>
      <c r="I239" s="2"/>
      <c r="J239" s="2"/>
      <c r="M239" s="2"/>
      <c r="N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6:31" ht="12.75" x14ac:dyDescent="0.2">
      <c r="F240" s="2"/>
      <c r="I240" s="2"/>
      <c r="J240" s="2"/>
      <c r="M240" s="2"/>
      <c r="N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6:31" ht="12.75" x14ac:dyDescent="0.2">
      <c r="F241" s="2"/>
      <c r="I241" s="2"/>
      <c r="J241" s="2"/>
      <c r="M241" s="2"/>
      <c r="N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6:31" ht="12.75" x14ac:dyDescent="0.2">
      <c r="F242" s="2"/>
      <c r="I242" s="2"/>
      <c r="J242" s="2"/>
      <c r="M242" s="2"/>
      <c r="N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6:31" ht="12.75" x14ac:dyDescent="0.2">
      <c r="F243" s="2"/>
      <c r="I243" s="2"/>
      <c r="J243" s="2"/>
      <c r="M243" s="2"/>
      <c r="N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6:31" ht="12.75" x14ac:dyDescent="0.2">
      <c r="F244" s="2"/>
      <c r="I244" s="2"/>
      <c r="J244" s="2"/>
      <c r="M244" s="2"/>
      <c r="N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6:31" ht="12.75" x14ac:dyDescent="0.2">
      <c r="F245" s="2"/>
      <c r="I245" s="2"/>
      <c r="J245" s="2"/>
      <c r="M245" s="2"/>
      <c r="N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6:31" ht="12.75" x14ac:dyDescent="0.2">
      <c r="F246" s="2"/>
      <c r="I246" s="2"/>
      <c r="J246" s="2"/>
      <c r="M246" s="2"/>
      <c r="N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6:31" ht="12.75" x14ac:dyDescent="0.2">
      <c r="F247" s="2"/>
      <c r="I247" s="2"/>
      <c r="J247" s="2"/>
      <c r="M247" s="2"/>
      <c r="N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6:31" ht="12.75" x14ac:dyDescent="0.2">
      <c r="F248" s="2"/>
      <c r="I248" s="2"/>
      <c r="J248" s="2"/>
      <c r="M248" s="2"/>
      <c r="N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6:31" ht="12.75" x14ac:dyDescent="0.2">
      <c r="F249" s="2"/>
      <c r="I249" s="2"/>
      <c r="J249" s="2"/>
      <c r="M249" s="2"/>
      <c r="N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6:31" ht="12.75" x14ac:dyDescent="0.2">
      <c r="F250" s="2"/>
      <c r="I250" s="2"/>
      <c r="J250" s="2"/>
      <c r="M250" s="2"/>
      <c r="N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6:31" ht="12.75" x14ac:dyDescent="0.2">
      <c r="F251" s="2"/>
      <c r="I251" s="2"/>
      <c r="J251" s="2"/>
      <c r="M251" s="2"/>
      <c r="N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6:31" ht="12.75" x14ac:dyDescent="0.2">
      <c r="F252" s="2"/>
      <c r="I252" s="2"/>
      <c r="J252" s="2"/>
      <c r="M252" s="2"/>
      <c r="N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6:31" ht="12.75" x14ac:dyDescent="0.2">
      <c r="F253" s="2"/>
      <c r="I253" s="2"/>
      <c r="J253" s="2"/>
      <c r="M253" s="2"/>
      <c r="N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6:31" ht="12.75" x14ac:dyDescent="0.2">
      <c r="F254" s="2"/>
      <c r="I254" s="2"/>
      <c r="J254" s="2"/>
      <c r="M254" s="2"/>
      <c r="N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6:31" ht="12.75" x14ac:dyDescent="0.2">
      <c r="F255" s="2"/>
      <c r="I255" s="2"/>
      <c r="J255" s="2"/>
      <c r="M255" s="2"/>
      <c r="N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6:31" ht="12.75" x14ac:dyDescent="0.2">
      <c r="F256" s="2"/>
      <c r="I256" s="2"/>
      <c r="J256" s="2"/>
      <c r="M256" s="2"/>
      <c r="N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6:31" ht="12.75" x14ac:dyDescent="0.2">
      <c r="F257" s="2"/>
      <c r="I257" s="2"/>
      <c r="J257" s="2"/>
      <c r="M257" s="2"/>
      <c r="N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6:31" ht="12.75" x14ac:dyDescent="0.2">
      <c r="F258" s="2"/>
      <c r="I258" s="2"/>
      <c r="J258" s="2"/>
      <c r="M258" s="2"/>
      <c r="N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6:31" ht="12.75" x14ac:dyDescent="0.2">
      <c r="F259" s="2"/>
      <c r="I259" s="2"/>
      <c r="J259" s="2"/>
      <c r="M259" s="2"/>
      <c r="N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6:31" ht="12.75" x14ac:dyDescent="0.2">
      <c r="F260" s="2"/>
      <c r="I260" s="2"/>
      <c r="J260" s="2"/>
      <c r="M260" s="2"/>
      <c r="N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6:31" ht="12.75" x14ac:dyDescent="0.2">
      <c r="F261" s="2"/>
      <c r="I261" s="2"/>
      <c r="J261" s="2"/>
      <c r="M261" s="2"/>
      <c r="N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6:31" ht="12.75" x14ac:dyDescent="0.2">
      <c r="F262" s="2"/>
      <c r="I262" s="2"/>
      <c r="J262" s="2"/>
      <c r="M262" s="2"/>
      <c r="N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6:31" ht="12.75" x14ac:dyDescent="0.2">
      <c r="F263" s="2"/>
      <c r="I263" s="2"/>
      <c r="J263" s="2"/>
      <c r="M263" s="2"/>
      <c r="N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6:31" ht="12.75" x14ac:dyDescent="0.2">
      <c r="F264" s="2"/>
      <c r="I264" s="2"/>
      <c r="J264" s="2"/>
      <c r="M264" s="2"/>
      <c r="N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6:31" ht="12.75" x14ac:dyDescent="0.2">
      <c r="F265" s="2"/>
      <c r="I265" s="2"/>
      <c r="J265" s="2"/>
      <c r="M265" s="2"/>
      <c r="N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6:31" ht="12.75" x14ac:dyDescent="0.2">
      <c r="F266" s="2"/>
      <c r="I266" s="2"/>
      <c r="J266" s="2"/>
      <c r="M266" s="2"/>
      <c r="N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6:31" ht="12.75" x14ac:dyDescent="0.2">
      <c r="F267" s="2"/>
      <c r="I267" s="2"/>
      <c r="J267" s="2"/>
      <c r="M267" s="2"/>
      <c r="N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6:31" ht="12.75" x14ac:dyDescent="0.2">
      <c r="F268" s="2"/>
      <c r="I268" s="2"/>
      <c r="J268" s="2"/>
      <c r="M268" s="2"/>
      <c r="N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6:31" ht="12.75" x14ac:dyDescent="0.2">
      <c r="F269" s="2"/>
      <c r="I269" s="2"/>
      <c r="J269" s="2"/>
      <c r="M269" s="2"/>
      <c r="N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6:31" ht="12.75" x14ac:dyDescent="0.2">
      <c r="F270" s="2"/>
      <c r="I270" s="2"/>
      <c r="J270" s="2"/>
      <c r="M270" s="2"/>
      <c r="N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6:31" ht="12.75" x14ac:dyDescent="0.2">
      <c r="F271" s="2"/>
      <c r="I271" s="2"/>
      <c r="J271" s="2"/>
      <c r="M271" s="2"/>
      <c r="N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6:31" ht="12.75" x14ac:dyDescent="0.2">
      <c r="F272" s="2"/>
      <c r="I272" s="2"/>
      <c r="J272" s="2"/>
      <c r="M272" s="2"/>
      <c r="N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6:31" ht="12.75" x14ac:dyDescent="0.2">
      <c r="F273" s="2"/>
      <c r="I273" s="2"/>
      <c r="J273" s="2"/>
      <c r="M273" s="2"/>
      <c r="N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6:31" ht="12.75" x14ac:dyDescent="0.2">
      <c r="F274" s="2"/>
      <c r="I274" s="2"/>
      <c r="J274" s="2"/>
      <c r="M274" s="2"/>
      <c r="N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6:31" ht="12.75" x14ac:dyDescent="0.2">
      <c r="F275" s="2"/>
      <c r="I275" s="2"/>
      <c r="J275" s="2"/>
      <c r="M275" s="2"/>
      <c r="N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6:31" ht="12.75" x14ac:dyDescent="0.2">
      <c r="F276" s="2"/>
      <c r="I276" s="2"/>
      <c r="J276" s="2"/>
      <c r="M276" s="2"/>
      <c r="N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6:31" ht="12.75" x14ac:dyDescent="0.2">
      <c r="F277" s="2"/>
      <c r="I277" s="2"/>
      <c r="J277" s="2"/>
      <c r="M277" s="2"/>
      <c r="N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6:31" ht="12.75" x14ac:dyDescent="0.2">
      <c r="F278" s="2"/>
      <c r="I278" s="2"/>
      <c r="J278" s="2"/>
      <c r="M278" s="2"/>
      <c r="N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6:31" ht="12.75" x14ac:dyDescent="0.2">
      <c r="F279" s="2"/>
      <c r="I279" s="2"/>
      <c r="J279" s="2"/>
      <c r="M279" s="2"/>
      <c r="N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6:31" ht="12.75" x14ac:dyDescent="0.2">
      <c r="F280" s="2"/>
      <c r="I280" s="2"/>
      <c r="J280" s="2"/>
      <c r="M280" s="2"/>
      <c r="N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6:31" ht="12.75" x14ac:dyDescent="0.2">
      <c r="F281" s="2"/>
      <c r="I281" s="2"/>
      <c r="J281" s="2"/>
      <c r="M281" s="2"/>
      <c r="N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6:31" ht="12.75" x14ac:dyDescent="0.2">
      <c r="F282" s="2"/>
      <c r="I282" s="2"/>
      <c r="J282" s="2"/>
      <c r="M282" s="2"/>
      <c r="N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6:31" ht="12.75" x14ac:dyDescent="0.2">
      <c r="F283" s="2"/>
      <c r="I283" s="2"/>
      <c r="J283" s="2"/>
      <c r="M283" s="2"/>
      <c r="N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6:31" ht="12.75" x14ac:dyDescent="0.2">
      <c r="F284" s="2"/>
      <c r="I284" s="2"/>
      <c r="J284" s="2"/>
      <c r="M284" s="2"/>
      <c r="N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6:31" ht="12.75" x14ac:dyDescent="0.2">
      <c r="F285" s="2"/>
      <c r="I285" s="2"/>
      <c r="J285" s="2"/>
      <c r="M285" s="2"/>
      <c r="N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6:31" ht="12.75" x14ac:dyDescent="0.2">
      <c r="F286" s="2"/>
      <c r="I286" s="2"/>
      <c r="J286" s="2"/>
      <c r="M286" s="2"/>
      <c r="N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6:31" ht="12.75" x14ac:dyDescent="0.2">
      <c r="F287" s="2"/>
      <c r="I287" s="2"/>
      <c r="J287" s="2"/>
      <c r="M287" s="2"/>
      <c r="N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6:31" ht="12.75" x14ac:dyDescent="0.2">
      <c r="F288" s="2"/>
      <c r="I288" s="2"/>
      <c r="J288" s="2"/>
      <c r="M288" s="2"/>
      <c r="N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6:31" ht="12.75" x14ac:dyDescent="0.2">
      <c r="F289" s="2"/>
      <c r="I289" s="2"/>
      <c r="J289" s="2"/>
      <c r="M289" s="2"/>
      <c r="N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6:31" ht="12.75" x14ac:dyDescent="0.2">
      <c r="F290" s="2"/>
      <c r="I290" s="2"/>
      <c r="J290" s="2"/>
      <c r="M290" s="2"/>
      <c r="N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6:31" ht="12.75" x14ac:dyDescent="0.2">
      <c r="F291" s="2"/>
      <c r="I291" s="2"/>
      <c r="J291" s="2"/>
      <c r="M291" s="2"/>
      <c r="N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6:31" ht="12.75" x14ac:dyDescent="0.2">
      <c r="F292" s="2"/>
      <c r="I292" s="2"/>
      <c r="J292" s="2"/>
      <c r="M292" s="2"/>
      <c r="N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6:31" ht="12.75" x14ac:dyDescent="0.2">
      <c r="F293" s="2"/>
      <c r="I293" s="2"/>
      <c r="J293" s="2"/>
      <c r="M293" s="2"/>
      <c r="N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6:31" ht="12.75" x14ac:dyDescent="0.2">
      <c r="F294" s="2"/>
      <c r="I294" s="2"/>
      <c r="J294" s="2"/>
      <c r="M294" s="2"/>
      <c r="N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6:31" ht="12.75" x14ac:dyDescent="0.2">
      <c r="F295" s="2"/>
      <c r="I295" s="2"/>
      <c r="J295" s="2"/>
      <c r="M295" s="2"/>
      <c r="N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6:31" ht="12.75" x14ac:dyDescent="0.2">
      <c r="F296" s="2"/>
      <c r="I296" s="2"/>
      <c r="J296" s="2"/>
      <c r="M296" s="2"/>
      <c r="N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6:31" ht="12.75" x14ac:dyDescent="0.2">
      <c r="F297" s="2"/>
      <c r="I297" s="2"/>
      <c r="J297" s="2"/>
      <c r="M297" s="2"/>
      <c r="N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6:31" ht="12.75" x14ac:dyDescent="0.2">
      <c r="F298" s="2"/>
      <c r="I298" s="2"/>
      <c r="J298" s="2"/>
      <c r="M298" s="2"/>
      <c r="N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6:31" ht="12.75" x14ac:dyDescent="0.2">
      <c r="F299" s="2"/>
      <c r="I299" s="2"/>
      <c r="J299" s="2"/>
      <c r="M299" s="2"/>
      <c r="N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6:31" ht="12.75" x14ac:dyDescent="0.2">
      <c r="F300" s="2"/>
      <c r="I300" s="2"/>
      <c r="J300" s="2"/>
      <c r="M300" s="2"/>
      <c r="N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6:31" ht="12.75" x14ac:dyDescent="0.2">
      <c r="F301" s="2"/>
      <c r="I301" s="2"/>
      <c r="J301" s="2"/>
      <c r="M301" s="2"/>
      <c r="N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6:31" ht="12.75" x14ac:dyDescent="0.2">
      <c r="F302" s="2"/>
      <c r="I302" s="2"/>
      <c r="J302" s="2"/>
      <c r="M302" s="2"/>
      <c r="N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6:31" ht="12.75" x14ac:dyDescent="0.2">
      <c r="F303" s="2"/>
      <c r="I303" s="2"/>
      <c r="J303" s="2"/>
      <c r="M303" s="2"/>
      <c r="N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6:31" ht="12.75" x14ac:dyDescent="0.2">
      <c r="F304" s="2"/>
      <c r="I304" s="2"/>
      <c r="J304" s="2"/>
      <c r="M304" s="2"/>
      <c r="N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6:31" ht="12.75" x14ac:dyDescent="0.2">
      <c r="F305" s="2"/>
      <c r="I305" s="2"/>
      <c r="J305" s="2"/>
      <c r="M305" s="2"/>
      <c r="N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6:31" ht="12.75" x14ac:dyDescent="0.2">
      <c r="F306" s="2"/>
      <c r="I306" s="2"/>
      <c r="J306" s="2"/>
      <c r="M306" s="2"/>
      <c r="N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6:31" ht="12.75" x14ac:dyDescent="0.2">
      <c r="F307" s="2"/>
      <c r="I307" s="2"/>
      <c r="J307" s="2"/>
      <c r="M307" s="2"/>
      <c r="N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6:31" ht="12.75" x14ac:dyDescent="0.2">
      <c r="F308" s="2"/>
      <c r="I308" s="2"/>
      <c r="J308" s="2"/>
      <c r="M308" s="2"/>
      <c r="N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6:31" ht="12.75" x14ac:dyDescent="0.2">
      <c r="F309" s="2"/>
      <c r="I309" s="2"/>
      <c r="J309" s="2"/>
      <c r="M309" s="2"/>
      <c r="N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6:31" ht="12.75" x14ac:dyDescent="0.2">
      <c r="F310" s="2"/>
      <c r="I310" s="2"/>
      <c r="J310" s="2"/>
      <c r="M310" s="2"/>
      <c r="N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6:31" ht="12.75" x14ac:dyDescent="0.2">
      <c r="F311" s="2"/>
      <c r="I311" s="2"/>
      <c r="J311" s="2"/>
      <c r="M311" s="2"/>
      <c r="N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6:31" ht="12.75" x14ac:dyDescent="0.2">
      <c r="F312" s="2"/>
      <c r="I312" s="2"/>
      <c r="J312" s="2"/>
      <c r="M312" s="2"/>
      <c r="N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6:31" ht="12.75" x14ac:dyDescent="0.2">
      <c r="F313" s="2"/>
      <c r="I313" s="2"/>
      <c r="J313" s="2"/>
      <c r="M313" s="2"/>
      <c r="N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6:31" ht="12.75" x14ac:dyDescent="0.2">
      <c r="F314" s="2"/>
      <c r="I314" s="2"/>
      <c r="J314" s="2"/>
      <c r="M314" s="2"/>
      <c r="N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6:31" ht="12.75" x14ac:dyDescent="0.2">
      <c r="F315" s="2"/>
      <c r="I315" s="2"/>
      <c r="J315" s="2"/>
      <c r="M315" s="2"/>
      <c r="N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6:31" ht="12.75" x14ac:dyDescent="0.2">
      <c r="F316" s="2"/>
      <c r="I316" s="2"/>
      <c r="J316" s="2"/>
      <c r="M316" s="2"/>
      <c r="N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6:31" ht="12.75" x14ac:dyDescent="0.2">
      <c r="F317" s="2"/>
      <c r="I317" s="2"/>
      <c r="J317" s="2"/>
      <c r="M317" s="2"/>
      <c r="N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6:31" ht="12.75" x14ac:dyDescent="0.2">
      <c r="F318" s="2"/>
      <c r="I318" s="2"/>
      <c r="J318" s="2"/>
      <c r="M318" s="2"/>
      <c r="N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6:31" ht="12.75" x14ac:dyDescent="0.2">
      <c r="F319" s="2"/>
      <c r="I319" s="2"/>
      <c r="J319" s="2"/>
      <c r="M319" s="2"/>
      <c r="N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6:31" ht="12.75" x14ac:dyDescent="0.2">
      <c r="F320" s="2"/>
      <c r="I320" s="2"/>
      <c r="J320" s="2"/>
      <c r="M320" s="2"/>
      <c r="N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6:31" ht="12.75" x14ac:dyDescent="0.2">
      <c r="F321" s="2"/>
      <c r="I321" s="2"/>
      <c r="J321" s="2"/>
      <c r="M321" s="2"/>
      <c r="N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6:31" ht="12.75" x14ac:dyDescent="0.2">
      <c r="F322" s="2"/>
      <c r="I322" s="2"/>
      <c r="J322" s="2"/>
      <c r="M322" s="2"/>
      <c r="N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6:31" ht="12.75" x14ac:dyDescent="0.2">
      <c r="F323" s="2"/>
      <c r="I323" s="2"/>
      <c r="J323" s="2"/>
      <c r="M323" s="2"/>
      <c r="N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6:31" ht="12.75" x14ac:dyDescent="0.2">
      <c r="F324" s="2"/>
      <c r="I324" s="2"/>
      <c r="J324" s="2"/>
      <c r="M324" s="2"/>
      <c r="N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6:31" ht="12.75" x14ac:dyDescent="0.2">
      <c r="F325" s="2"/>
      <c r="I325" s="2"/>
      <c r="J325" s="2"/>
      <c r="M325" s="2"/>
      <c r="N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6:31" ht="12.75" x14ac:dyDescent="0.2">
      <c r="F326" s="2"/>
      <c r="I326" s="2"/>
      <c r="J326" s="2"/>
      <c r="M326" s="2"/>
      <c r="N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6:31" ht="12.75" x14ac:dyDescent="0.2">
      <c r="F327" s="2"/>
      <c r="I327" s="2"/>
      <c r="J327" s="2"/>
      <c r="M327" s="2"/>
      <c r="N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6:31" ht="12.75" x14ac:dyDescent="0.2">
      <c r="F328" s="2"/>
      <c r="I328" s="2"/>
      <c r="J328" s="2"/>
      <c r="M328" s="2"/>
      <c r="N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6:31" ht="12.75" x14ac:dyDescent="0.2">
      <c r="F329" s="2"/>
      <c r="I329" s="2"/>
      <c r="J329" s="2"/>
      <c r="M329" s="2"/>
      <c r="N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6:31" ht="12.75" x14ac:dyDescent="0.2">
      <c r="F330" s="2"/>
      <c r="I330" s="2"/>
      <c r="J330" s="2"/>
      <c r="M330" s="2"/>
      <c r="N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6:31" ht="12.75" x14ac:dyDescent="0.2">
      <c r="F331" s="2"/>
      <c r="I331" s="2"/>
      <c r="J331" s="2"/>
      <c r="M331" s="2"/>
      <c r="N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6:31" ht="12.75" x14ac:dyDescent="0.2">
      <c r="F332" s="2"/>
      <c r="I332" s="2"/>
      <c r="J332" s="2"/>
      <c r="M332" s="2"/>
      <c r="N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6:31" ht="12.75" x14ac:dyDescent="0.2">
      <c r="F333" s="2"/>
      <c r="I333" s="2"/>
      <c r="J333" s="2"/>
      <c r="M333" s="2"/>
      <c r="N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6:31" ht="12.75" x14ac:dyDescent="0.2">
      <c r="F334" s="2"/>
      <c r="I334" s="2"/>
      <c r="J334" s="2"/>
      <c r="M334" s="2"/>
      <c r="N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6:31" ht="12.75" x14ac:dyDescent="0.2">
      <c r="F335" s="2"/>
      <c r="I335" s="2"/>
      <c r="J335" s="2"/>
      <c r="M335" s="2"/>
      <c r="N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6:31" ht="12.75" x14ac:dyDescent="0.2">
      <c r="F336" s="2"/>
      <c r="I336" s="2"/>
      <c r="J336" s="2"/>
      <c r="M336" s="2"/>
      <c r="N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6:31" ht="12.75" x14ac:dyDescent="0.2">
      <c r="F337" s="2"/>
      <c r="I337" s="2"/>
      <c r="J337" s="2"/>
      <c r="M337" s="2"/>
      <c r="N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6:31" ht="12.75" x14ac:dyDescent="0.2">
      <c r="F338" s="2"/>
      <c r="I338" s="2"/>
      <c r="J338" s="2"/>
      <c r="M338" s="2"/>
      <c r="N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6:31" ht="12.75" x14ac:dyDescent="0.2">
      <c r="F339" s="2"/>
      <c r="I339" s="2"/>
      <c r="J339" s="2"/>
      <c r="M339" s="2"/>
      <c r="N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6:31" ht="12.75" x14ac:dyDescent="0.2">
      <c r="F340" s="2"/>
      <c r="I340" s="2"/>
      <c r="J340" s="2"/>
      <c r="M340" s="2"/>
      <c r="N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6:31" ht="12.75" x14ac:dyDescent="0.2">
      <c r="F341" s="2"/>
      <c r="I341" s="2"/>
      <c r="J341" s="2"/>
      <c r="M341" s="2"/>
      <c r="N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6:31" ht="12.75" x14ac:dyDescent="0.2">
      <c r="F342" s="2"/>
      <c r="I342" s="2"/>
      <c r="J342" s="2"/>
      <c r="M342" s="2"/>
      <c r="N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6:31" ht="12.75" x14ac:dyDescent="0.2">
      <c r="F343" s="2"/>
      <c r="I343" s="2"/>
      <c r="J343" s="2"/>
      <c r="M343" s="2"/>
      <c r="N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6:31" ht="12.75" x14ac:dyDescent="0.2">
      <c r="F344" s="2"/>
      <c r="I344" s="2"/>
      <c r="J344" s="2"/>
      <c r="M344" s="2"/>
      <c r="N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6:31" ht="12.75" x14ac:dyDescent="0.2">
      <c r="F345" s="2"/>
      <c r="I345" s="2"/>
      <c r="J345" s="2"/>
      <c r="M345" s="2"/>
      <c r="N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6:31" ht="12.75" x14ac:dyDescent="0.2">
      <c r="F346" s="2"/>
      <c r="I346" s="2"/>
      <c r="J346" s="2"/>
      <c r="M346" s="2"/>
      <c r="N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6:31" ht="12.75" x14ac:dyDescent="0.2">
      <c r="F347" s="2"/>
      <c r="I347" s="2"/>
      <c r="J347" s="2"/>
      <c r="M347" s="2"/>
      <c r="N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6:31" ht="12.75" x14ac:dyDescent="0.2">
      <c r="F348" s="2"/>
      <c r="I348" s="2"/>
      <c r="J348" s="2"/>
      <c r="M348" s="2"/>
      <c r="N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6:31" ht="12.75" x14ac:dyDescent="0.2">
      <c r="F349" s="2"/>
      <c r="I349" s="2"/>
      <c r="J349" s="2"/>
      <c r="M349" s="2"/>
      <c r="N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6:31" ht="12.75" x14ac:dyDescent="0.2">
      <c r="F350" s="2"/>
      <c r="I350" s="2"/>
      <c r="J350" s="2"/>
      <c r="M350" s="2"/>
      <c r="N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6:31" ht="12.75" x14ac:dyDescent="0.2">
      <c r="F351" s="2"/>
      <c r="I351" s="2"/>
      <c r="J351" s="2"/>
      <c r="M351" s="2"/>
      <c r="N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6:31" ht="12.75" x14ac:dyDescent="0.2">
      <c r="F352" s="2"/>
      <c r="I352" s="2"/>
      <c r="J352" s="2"/>
      <c r="M352" s="2"/>
      <c r="N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6:31" ht="12.75" x14ac:dyDescent="0.2">
      <c r="F353" s="2"/>
      <c r="I353" s="2"/>
      <c r="J353" s="2"/>
      <c r="M353" s="2"/>
      <c r="N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6:31" ht="12.75" x14ac:dyDescent="0.2">
      <c r="F354" s="2"/>
      <c r="I354" s="2"/>
      <c r="J354" s="2"/>
      <c r="M354" s="2"/>
      <c r="N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6:31" ht="12.75" x14ac:dyDescent="0.2">
      <c r="F355" s="2"/>
      <c r="I355" s="2"/>
      <c r="J355" s="2"/>
      <c r="M355" s="2"/>
      <c r="N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6:31" ht="12.75" x14ac:dyDescent="0.2">
      <c r="F356" s="2"/>
      <c r="I356" s="2"/>
      <c r="J356" s="2"/>
      <c r="M356" s="2"/>
      <c r="N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6:31" ht="12.75" x14ac:dyDescent="0.2">
      <c r="F357" s="2"/>
      <c r="I357" s="2"/>
      <c r="J357" s="2"/>
      <c r="M357" s="2"/>
      <c r="N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6:31" ht="12.75" x14ac:dyDescent="0.2">
      <c r="F358" s="2"/>
      <c r="I358" s="2"/>
      <c r="J358" s="2"/>
      <c r="M358" s="2"/>
      <c r="N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6:31" ht="12.75" x14ac:dyDescent="0.2">
      <c r="F359" s="2"/>
      <c r="I359" s="2"/>
      <c r="J359" s="2"/>
      <c r="M359" s="2"/>
      <c r="N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6:31" ht="12.75" x14ac:dyDescent="0.2">
      <c r="F360" s="2"/>
      <c r="I360" s="2"/>
      <c r="J360" s="2"/>
      <c r="M360" s="2"/>
      <c r="N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6:31" ht="12.75" x14ac:dyDescent="0.2">
      <c r="F361" s="2"/>
      <c r="I361" s="2"/>
      <c r="J361" s="2"/>
      <c r="M361" s="2"/>
      <c r="N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6:31" ht="12.75" x14ac:dyDescent="0.2">
      <c r="F362" s="2"/>
      <c r="I362" s="2"/>
      <c r="J362" s="2"/>
      <c r="M362" s="2"/>
      <c r="N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6:31" ht="12.75" x14ac:dyDescent="0.2">
      <c r="F363" s="2"/>
      <c r="I363" s="2"/>
      <c r="J363" s="2"/>
      <c r="M363" s="2"/>
      <c r="N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6:31" ht="12.75" x14ac:dyDescent="0.2">
      <c r="F364" s="2"/>
      <c r="I364" s="2"/>
      <c r="J364" s="2"/>
      <c r="M364" s="2"/>
      <c r="N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6:31" ht="12.75" x14ac:dyDescent="0.2">
      <c r="F365" s="2"/>
      <c r="I365" s="2"/>
      <c r="J365" s="2"/>
      <c r="M365" s="2"/>
      <c r="N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6:31" ht="12.75" x14ac:dyDescent="0.2">
      <c r="F366" s="2"/>
      <c r="I366" s="2"/>
      <c r="J366" s="2"/>
      <c r="M366" s="2"/>
      <c r="N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6:31" ht="12.75" x14ac:dyDescent="0.2">
      <c r="F367" s="2"/>
      <c r="I367" s="2"/>
      <c r="J367" s="2"/>
      <c r="M367" s="2"/>
      <c r="N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6:31" ht="12.75" x14ac:dyDescent="0.2">
      <c r="F368" s="2"/>
      <c r="I368" s="2"/>
      <c r="J368" s="2"/>
      <c r="M368" s="2"/>
      <c r="N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6:31" ht="12.75" x14ac:dyDescent="0.2">
      <c r="F369" s="2"/>
      <c r="I369" s="2"/>
      <c r="J369" s="2"/>
      <c r="M369" s="2"/>
      <c r="N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6:31" ht="12.75" x14ac:dyDescent="0.2">
      <c r="F370" s="2"/>
      <c r="I370" s="2"/>
      <c r="J370" s="2"/>
      <c r="M370" s="2"/>
      <c r="N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6:31" ht="12.75" x14ac:dyDescent="0.2">
      <c r="F371" s="2"/>
      <c r="I371" s="2"/>
      <c r="J371" s="2"/>
      <c r="M371" s="2"/>
      <c r="N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6:31" ht="12.75" x14ac:dyDescent="0.2">
      <c r="F372" s="2"/>
      <c r="I372" s="2"/>
      <c r="J372" s="2"/>
      <c r="M372" s="2"/>
      <c r="N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6:31" ht="12.75" x14ac:dyDescent="0.2">
      <c r="F373" s="2"/>
      <c r="I373" s="2"/>
      <c r="J373" s="2"/>
      <c r="M373" s="2"/>
      <c r="N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6:31" ht="12.75" x14ac:dyDescent="0.2">
      <c r="F374" s="2"/>
      <c r="I374" s="2"/>
      <c r="J374" s="2"/>
      <c r="M374" s="2"/>
      <c r="N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6:31" ht="12.75" x14ac:dyDescent="0.2">
      <c r="F375" s="2"/>
      <c r="I375" s="2"/>
      <c r="J375" s="2"/>
      <c r="M375" s="2"/>
      <c r="N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6:31" ht="12.75" x14ac:dyDescent="0.2">
      <c r="F376" s="2"/>
      <c r="I376" s="2"/>
      <c r="J376" s="2"/>
      <c r="M376" s="2"/>
      <c r="N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6:31" ht="12.75" x14ac:dyDescent="0.2">
      <c r="F377" s="2"/>
      <c r="I377" s="2"/>
      <c r="J377" s="2"/>
      <c r="M377" s="2"/>
      <c r="N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6:31" ht="12.75" x14ac:dyDescent="0.2">
      <c r="F378" s="2"/>
      <c r="I378" s="2"/>
      <c r="J378" s="2"/>
      <c r="M378" s="2"/>
      <c r="N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6:31" ht="12.75" x14ac:dyDescent="0.2">
      <c r="F379" s="2"/>
      <c r="I379" s="2"/>
      <c r="J379" s="2"/>
      <c r="M379" s="2"/>
      <c r="N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6:31" ht="12.75" x14ac:dyDescent="0.2">
      <c r="F380" s="2"/>
      <c r="I380" s="2"/>
      <c r="J380" s="2"/>
      <c r="M380" s="2"/>
      <c r="N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6:31" ht="12.75" x14ac:dyDescent="0.2">
      <c r="F381" s="2"/>
      <c r="I381" s="2"/>
      <c r="J381" s="2"/>
      <c r="M381" s="2"/>
      <c r="N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6:31" ht="12.75" x14ac:dyDescent="0.2">
      <c r="F382" s="2"/>
      <c r="I382" s="2"/>
      <c r="J382" s="2"/>
      <c r="M382" s="2"/>
      <c r="N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6:31" ht="12.75" x14ac:dyDescent="0.2">
      <c r="F383" s="2"/>
      <c r="I383" s="2"/>
      <c r="J383" s="2"/>
      <c r="M383" s="2"/>
      <c r="N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6:31" ht="12.75" x14ac:dyDescent="0.2">
      <c r="F384" s="2"/>
      <c r="I384" s="2"/>
      <c r="J384" s="2"/>
      <c r="M384" s="2"/>
      <c r="N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6:31" ht="12.75" x14ac:dyDescent="0.2">
      <c r="F385" s="2"/>
      <c r="I385" s="2"/>
      <c r="J385" s="2"/>
      <c r="M385" s="2"/>
      <c r="N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6:31" ht="12.75" x14ac:dyDescent="0.2">
      <c r="F386" s="2"/>
      <c r="I386" s="2"/>
      <c r="J386" s="2"/>
      <c r="M386" s="2"/>
      <c r="N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6:31" ht="12.75" x14ac:dyDescent="0.2">
      <c r="F387" s="2"/>
      <c r="I387" s="2"/>
      <c r="J387" s="2"/>
      <c r="M387" s="2"/>
      <c r="N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6:31" ht="12.75" x14ac:dyDescent="0.2">
      <c r="F388" s="2"/>
      <c r="I388" s="2"/>
      <c r="J388" s="2"/>
      <c r="M388" s="2"/>
      <c r="N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6:31" ht="12.75" x14ac:dyDescent="0.2">
      <c r="F389" s="2"/>
      <c r="I389" s="2"/>
      <c r="J389" s="2"/>
      <c r="M389" s="2"/>
      <c r="N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6:31" ht="12.75" x14ac:dyDescent="0.2">
      <c r="F390" s="2"/>
      <c r="I390" s="2"/>
      <c r="J390" s="2"/>
      <c r="M390" s="2"/>
      <c r="N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6:31" ht="12.75" x14ac:dyDescent="0.2">
      <c r="F391" s="2"/>
      <c r="I391" s="2"/>
      <c r="J391" s="2"/>
      <c r="M391" s="2"/>
      <c r="N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6:31" ht="12.75" x14ac:dyDescent="0.2">
      <c r="F392" s="2"/>
      <c r="I392" s="2"/>
      <c r="J392" s="2"/>
      <c r="M392" s="2"/>
      <c r="N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6:31" ht="12.75" x14ac:dyDescent="0.2">
      <c r="F393" s="2"/>
      <c r="I393" s="2"/>
      <c r="J393" s="2"/>
      <c r="M393" s="2"/>
      <c r="N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6:31" ht="12.75" x14ac:dyDescent="0.2">
      <c r="F394" s="2"/>
      <c r="I394" s="2"/>
      <c r="J394" s="2"/>
      <c r="M394" s="2"/>
      <c r="N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6:31" ht="12.75" x14ac:dyDescent="0.2">
      <c r="F395" s="2"/>
      <c r="I395" s="2"/>
      <c r="J395" s="2"/>
      <c r="M395" s="2"/>
      <c r="N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6:31" ht="12.75" x14ac:dyDescent="0.2">
      <c r="F396" s="2"/>
      <c r="I396" s="2"/>
      <c r="J396" s="2"/>
      <c r="M396" s="2"/>
      <c r="N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6:31" ht="12.75" x14ac:dyDescent="0.2">
      <c r="F397" s="2"/>
      <c r="I397" s="2"/>
      <c r="J397" s="2"/>
      <c r="M397" s="2"/>
      <c r="N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6:31" ht="12.75" x14ac:dyDescent="0.2">
      <c r="F398" s="2"/>
      <c r="I398" s="2"/>
      <c r="J398" s="2"/>
      <c r="M398" s="2"/>
      <c r="N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6:31" ht="12.75" x14ac:dyDescent="0.2">
      <c r="F399" s="2"/>
      <c r="I399" s="2"/>
      <c r="J399" s="2"/>
      <c r="M399" s="2"/>
      <c r="N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6:31" ht="12.75" x14ac:dyDescent="0.2">
      <c r="F400" s="2"/>
      <c r="I400" s="2"/>
      <c r="J400" s="2"/>
      <c r="M400" s="2"/>
      <c r="N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6:31" ht="12.75" x14ac:dyDescent="0.2">
      <c r="F401" s="2"/>
      <c r="I401" s="2"/>
      <c r="J401" s="2"/>
      <c r="M401" s="2"/>
      <c r="N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6:31" ht="12.75" x14ac:dyDescent="0.2">
      <c r="F402" s="2"/>
      <c r="I402" s="2"/>
      <c r="J402" s="2"/>
      <c r="M402" s="2"/>
      <c r="N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6:31" ht="12.75" x14ac:dyDescent="0.2">
      <c r="F403" s="2"/>
      <c r="I403" s="2"/>
      <c r="J403" s="2"/>
      <c r="M403" s="2"/>
      <c r="N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6:31" ht="12.75" x14ac:dyDescent="0.2">
      <c r="F404" s="2"/>
      <c r="I404" s="2"/>
      <c r="J404" s="2"/>
      <c r="M404" s="2"/>
      <c r="N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6:31" ht="12.75" x14ac:dyDescent="0.2">
      <c r="F405" s="2"/>
      <c r="I405" s="2"/>
      <c r="J405" s="2"/>
      <c r="M405" s="2"/>
      <c r="N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6:31" ht="12.75" x14ac:dyDescent="0.2">
      <c r="F406" s="2"/>
      <c r="I406" s="2"/>
      <c r="J406" s="2"/>
      <c r="M406" s="2"/>
      <c r="N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6:31" ht="12.75" x14ac:dyDescent="0.2">
      <c r="F407" s="2"/>
      <c r="I407" s="2"/>
      <c r="J407" s="2"/>
      <c r="M407" s="2"/>
      <c r="N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6:31" ht="12.75" x14ac:dyDescent="0.2">
      <c r="F408" s="2"/>
      <c r="I408" s="2"/>
      <c r="J408" s="2"/>
      <c r="M408" s="2"/>
      <c r="N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6:31" ht="12.75" x14ac:dyDescent="0.2">
      <c r="F409" s="2"/>
      <c r="I409" s="2"/>
      <c r="J409" s="2"/>
      <c r="M409" s="2"/>
      <c r="N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6:31" ht="12.75" x14ac:dyDescent="0.2">
      <c r="F410" s="2"/>
      <c r="I410" s="2"/>
      <c r="J410" s="2"/>
      <c r="M410" s="2"/>
      <c r="N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6:31" ht="12.75" x14ac:dyDescent="0.2">
      <c r="F411" s="2"/>
      <c r="I411" s="2"/>
      <c r="J411" s="2"/>
      <c r="M411" s="2"/>
      <c r="N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6:31" ht="12.75" x14ac:dyDescent="0.2">
      <c r="F412" s="2"/>
      <c r="I412" s="2"/>
      <c r="J412" s="2"/>
      <c r="M412" s="2"/>
      <c r="N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6:31" ht="12.75" x14ac:dyDescent="0.2">
      <c r="F413" s="2"/>
      <c r="I413" s="2"/>
      <c r="J413" s="2"/>
      <c r="M413" s="2"/>
      <c r="N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6:31" ht="12.75" x14ac:dyDescent="0.2">
      <c r="F414" s="2"/>
      <c r="I414" s="2"/>
      <c r="J414" s="2"/>
      <c r="M414" s="2"/>
      <c r="N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6:31" ht="12.75" x14ac:dyDescent="0.2">
      <c r="F415" s="2"/>
      <c r="I415" s="2"/>
      <c r="J415" s="2"/>
      <c r="M415" s="2"/>
      <c r="N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6:31" ht="12.75" x14ac:dyDescent="0.2">
      <c r="F416" s="2"/>
      <c r="I416" s="2"/>
      <c r="J416" s="2"/>
      <c r="M416" s="2"/>
      <c r="N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6:31" ht="12.75" x14ac:dyDescent="0.2">
      <c r="F417" s="2"/>
      <c r="I417" s="2"/>
      <c r="J417" s="2"/>
      <c r="M417" s="2"/>
      <c r="N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6:31" ht="12.75" x14ac:dyDescent="0.2">
      <c r="F418" s="2"/>
      <c r="I418" s="2"/>
      <c r="J418" s="2"/>
      <c r="M418" s="2"/>
      <c r="N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6:31" ht="12.75" x14ac:dyDescent="0.2">
      <c r="F419" s="2"/>
      <c r="I419" s="2"/>
      <c r="J419" s="2"/>
      <c r="M419" s="2"/>
      <c r="N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6:31" ht="12.75" x14ac:dyDescent="0.2">
      <c r="F420" s="2"/>
      <c r="I420" s="2"/>
      <c r="J420" s="2"/>
      <c r="M420" s="2"/>
      <c r="N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6:31" ht="12.75" x14ac:dyDescent="0.2">
      <c r="F421" s="2"/>
      <c r="I421" s="2"/>
      <c r="J421" s="2"/>
      <c r="M421" s="2"/>
      <c r="N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6:31" ht="12.75" x14ac:dyDescent="0.2">
      <c r="F422" s="2"/>
      <c r="I422" s="2"/>
      <c r="J422" s="2"/>
      <c r="M422" s="2"/>
      <c r="N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6:31" ht="12.75" x14ac:dyDescent="0.2">
      <c r="F423" s="2"/>
      <c r="I423" s="2"/>
      <c r="J423" s="2"/>
      <c r="M423" s="2"/>
      <c r="N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6:31" ht="12.75" x14ac:dyDescent="0.2">
      <c r="F424" s="2"/>
      <c r="I424" s="2"/>
      <c r="J424" s="2"/>
      <c r="M424" s="2"/>
      <c r="N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6:31" ht="12.75" x14ac:dyDescent="0.2">
      <c r="F425" s="2"/>
      <c r="I425" s="2"/>
      <c r="J425" s="2"/>
      <c r="M425" s="2"/>
      <c r="N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6:31" ht="12.75" x14ac:dyDescent="0.2">
      <c r="F426" s="2"/>
      <c r="I426" s="2"/>
      <c r="J426" s="2"/>
      <c r="M426" s="2"/>
      <c r="N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6:31" ht="12.75" x14ac:dyDescent="0.2">
      <c r="F427" s="2"/>
      <c r="I427" s="2"/>
      <c r="J427" s="2"/>
      <c r="M427" s="2"/>
      <c r="N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6:31" ht="12.75" x14ac:dyDescent="0.2">
      <c r="F428" s="2"/>
      <c r="I428" s="2"/>
      <c r="J428" s="2"/>
      <c r="M428" s="2"/>
      <c r="N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6:31" ht="12.75" x14ac:dyDescent="0.2">
      <c r="F429" s="2"/>
      <c r="I429" s="2"/>
      <c r="J429" s="2"/>
      <c r="M429" s="2"/>
      <c r="N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6:31" ht="12.75" x14ac:dyDescent="0.2">
      <c r="F430" s="2"/>
      <c r="I430" s="2"/>
      <c r="J430" s="2"/>
      <c r="M430" s="2"/>
      <c r="N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6:31" ht="12.75" x14ac:dyDescent="0.2">
      <c r="F431" s="2"/>
      <c r="I431" s="2"/>
      <c r="J431" s="2"/>
      <c r="M431" s="2"/>
      <c r="N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6:31" ht="12.75" x14ac:dyDescent="0.2">
      <c r="F432" s="2"/>
      <c r="I432" s="2"/>
      <c r="J432" s="2"/>
      <c r="M432" s="2"/>
      <c r="N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6:31" ht="12.75" x14ac:dyDescent="0.2">
      <c r="F433" s="2"/>
      <c r="I433" s="2"/>
      <c r="J433" s="2"/>
      <c r="M433" s="2"/>
      <c r="N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6:31" ht="12.75" x14ac:dyDescent="0.2">
      <c r="F434" s="2"/>
      <c r="I434" s="2"/>
      <c r="J434" s="2"/>
      <c r="M434" s="2"/>
      <c r="N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6:31" ht="12.75" x14ac:dyDescent="0.2">
      <c r="F435" s="2"/>
      <c r="I435" s="2"/>
      <c r="J435" s="2"/>
      <c r="M435" s="2"/>
      <c r="N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6:31" ht="12.75" x14ac:dyDescent="0.2">
      <c r="F436" s="2"/>
      <c r="I436" s="2"/>
      <c r="J436" s="2"/>
      <c r="M436" s="2"/>
      <c r="N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6:31" ht="12.75" x14ac:dyDescent="0.2">
      <c r="F437" s="2"/>
      <c r="I437" s="2"/>
      <c r="J437" s="2"/>
      <c r="M437" s="2"/>
      <c r="N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6:31" ht="12.75" x14ac:dyDescent="0.2">
      <c r="F438" s="2"/>
      <c r="I438" s="2"/>
      <c r="J438" s="2"/>
      <c r="M438" s="2"/>
      <c r="N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6:31" ht="12.75" x14ac:dyDescent="0.2">
      <c r="F439" s="2"/>
      <c r="I439" s="2"/>
      <c r="J439" s="2"/>
      <c r="M439" s="2"/>
      <c r="N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6:31" ht="12.75" x14ac:dyDescent="0.2">
      <c r="F440" s="2"/>
      <c r="I440" s="2"/>
      <c r="J440" s="2"/>
      <c r="M440" s="2"/>
      <c r="N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6:31" ht="12.75" x14ac:dyDescent="0.2">
      <c r="F441" s="2"/>
      <c r="I441" s="2"/>
      <c r="J441" s="2"/>
      <c r="M441" s="2"/>
      <c r="N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6:31" ht="12.75" x14ac:dyDescent="0.2">
      <c r="F442" s="2"/>
      <c r="I442" s="2"/>
      <c r="J442" s="2"/>
      <c r="M442" s="2"/>
      <c r="N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6:31" ht="12.75" x14ac:dyDescent="0.2">
      <c r="F443" s="2"/>
      <c r="I443" s="2"/>
      <c r="J443" s="2"/>
      <c r="M443" s="2"/>
      <c r="N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6:31" ht="12.75" x14ac:dyDescent="0.2">
      <c r="F444" s="2"/>
      <c r="I444" s="2"/>
      <c r="J444" s="2"/>
      <c r="M444" s="2"/>
      <c r="N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6:31" ht="12.75" x14ac:dyDescent="0.2">
      <c r="F445" s="2"/>
      <c r="I445" s="2"/>
      <c r="J445" s="2"/>
      <c r="M445" s="2"/>
      <c r="N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6:31" ht="12.75" x14ac:dyDescent="0.2">
      <c r="F446" s="2"/>
      <c r="I446" s="2"/>
      <c r="J446" s="2"/>
      <c r="M446" s="2"/>
      <c r="N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6:31" ht="12.75" x14ac:dyDescent="0.2">
      <c r="F447" s="2"/>
      <c r="I447" s="2"/>
      <c r="J447" s="2"/>
      <c r="M447" s="2"/>
      <c r="N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6:31" ht="12.75" x14ac:dyDescent="0.2">
      <c r="F448" s="2"/>
      <c r="I448" s="2"/>
      <c r="J448" s="2"/>
      <c r="M448" s="2"/>
      <c r="N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6:31" ht="12.75" x14ac:dyDescent="0.2">
      <c r="F449" s="2"/>
      <c r="I449" s="2"/>
      <c r="J449" s="2"/>
      <c r="M449" s="2"/>
      <c r="N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6:31" ht="12.75" x14ac:dyDescent="0.2">
      <c r="F450" s="2"/>
      <c r="I450" s="2"/>
      <c r="J450" s="2"/>
      <c r="M450" s="2"/>
      <c r="N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6:31" ht="12.75" x14ac:dyDescent="0.2">
      <c r="F451" s="2"/>
      <c r="I451" s="2"/>
      <c r="J451" s="2"/>
      <c r="M451" s="2"/>
      <c r="N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6:31" ht="12.75" x14ac:dyDescent="0.2">
      <c r="F452" s="2"/>
      <c r="I452" s="2"/>
      <c r="J452" s="2"/>
      <c r="M452" s="2"/>
      <c r="N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6:31" ht="12.75" x14ac:dyDescent="0.2">
      <c r="F453" s="2"/>
      <c r="I453" s="2"/>
      <c r="J453" s="2"/>
      <c r="M453" s="2"/>
      <c r="N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6:31" ht="12.75" x14ac:dyDescent="0.2">
      <c r="F454" s="2"/>
      <c r="I454" s="2"/>
      <c r="J454" s="2"/>
      <c r="M454" s="2"/>
      <c r="N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6:31" ht="12.75" x14ac:dyDescent="0.2">
      <c r="F455" s="2"/>
      <c r="I455" s="2"/>
      <c r="J455" s="2"/>
      <c r="M455" s="2"/>
      <c r="N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6:31" ht="12.75" x14ac:dyDescent="0.2">
      <c r="F456" s="2"/>
      <c r="I456" s="2"/>
      <c r="J456" s="2"/>
      <c r="M456" s="2"/>
      <c r="N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6:31" ht="12.75" x14ac:dyDescent="0.2">
      <c r="F457" s="2"/>
      <c r="I457" s="2"/>
      <c r="J457" s="2"/>
      <c r="M457" s="2"/>
      <c r="N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6:31" ht="12.75" x14ac:dyDescent="0.2">
      <c r="F458" s="2"/>
      <c r="I458" s="2"/>
      <c r="J458" s="2"/>
      <c r="M458" s="2"/>
      <c r="N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6:31" ht="12.75" x14ac:dyDescent="0.2">
      <c r="F459" s="2"/>
      <c r="I459" s="2"/>
      <c r="J459" s="2"/>
      <c r="M459" s="2"/>
      <c r="N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6:31" ht="12.75" x14ac:dyDescent="0.2">
      <c r="F460" s="2"/>
      <c r="I460" s="2"/>
      <c r="J460" s="2"/>
      <c r="M460" s="2"/>
      <c r="N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6:31" ht="12.75" x14ac:dyDescent="0.2">
      <c r="F461" s="2"/>
      <c r="I461" s="2"/>
      <c r="J461" s="2"/>
      <c r="M461" s="2"/>
      <c r="N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6:31" ht="12.75" x14ac:dyDescent="0.2">
      <c r="F462" s="2"/>
      <c r="I462" s="2"/>
      <c r="J462" s="2"/>
      <c r="M462" s="2"/>
      <c r="N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6:31" ht="12.75" x14ac:dyDescent="0.2">
      <c r="F463" s="2"/>
      <c r="I463" s="2"/>
      <c r="J463" s="2"/>
      <c r="M463" s="2"/>
      <c r="N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6:31" ht="12.75" x14ac:dyDescent="0.2">
      <c r="F464" s="2"/>
      <c r="I464" s="2"/>
      <c r="J464" s="2"/>
      <c r="M464" s="2"/>
      <c r="N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6:31" ht="12.75" x14ac:dyDescent="0.2">
      <c r="F465" s="2"/>
      <c r="I465" s="2"/>
      <c r="J465" s="2"/>
      <c r="M465" s="2"/>
      <c r="N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6:31" ht="12.75" x14ac:dyDescent="0.2">
      <c r="F466" s="2"/>
      <c r="I466" s="2"/>
      <c r="J466" s="2"/>
      <c r="M466" s="2"/>
      <c r="N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6:31" ht="12.75" x14ac:dyDescent="0.2">
      <c r="F467" s="2"/>
      <c r="I467" s="2"/>
      <c r="J467" s="2"/>
      <c r="M467" s="2"/>
      <c r="N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6:31" ht="12.75" x14ac:dyDescent="0.2">
      <c r="F468" s="2"/>
      <c r="I468" s="2"/>
      <c r="J468" s="2"/>
      <c r="M468" s="2"/>
      <c r="N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6:31" ht="12.75" x14ac:dyDescent="0.2">
      <c r="F469" s="2"/>
      <c r="I469" s="2"/>
      <c r="J469" s="2"/>
      <c r="M469" s="2"/>
      <c r="N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6:31" ht="12.75" x14ac:dyDescent="0.2">
      <c r="F470" s="2"/>
      <c r="I470" s="2"/>
      <c r="J470" s="2"/>
      <c r="M470" s="2"/>
      <c r="N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6:31" ht="12.75" x14ac:dyDescent="0.2">
      <c r="F471" s="2"/>
      <c r="I471" s="2"/>
      <c r="J471" s="2"/>
      <c r="M471" s="2"/>
      <c r="N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6:31" ht="12.75" x14ac:dyDescent="0.2">
      <c r="F472" s="2"/>
      <c r="I472" s="2"/>
      <c r="J472" s="2"/>
      <c r="M472" s="2"/>
      <c r="N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6:31" ht="12.75" x14ac:dyDescent="0.2">
      <c r="F473" s="2"/>
      <c r="I473" s="2"/>
      <c r="J473" s="2"/>
      <c r="M473" s="2"/>
      <c r="N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6:31" ht="12.75" x14ac:dyDescent="0.2">
      <c r="F474" s="2"/>
      <c r="I474" s="2"/>
      <c r="J474" s="2"/>
      <c r="M474" s="2"/>
      <c r="N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6:31" ht="12.75" x14ac:dyDescent="0.2">
      <c r="F475" s="2"/>
      <c r="I475" s="2"/>
      <c r="J475" s="2"/>
      <c r="M475" s="2"/>
      <c r="N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6:31" ht="12.75" x14ac:dyDescent="0.2">
      <c r="F476" s="2"/>
      <c r="I476" s="2"/>
      <c r="J476" s="2"/>
      <c r="M476" s="2"/>
      <c r="N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6:31" ht="12.75" x14ac:dyDescent="0.2">
      <c r="F477" s="2"/>
      <c r="I477" s="2"/>
      <c r="J477" s="2"/>
      <c r="M477" s="2"/>
      <c r="N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6:31" ht="12.75" x14ac:dyDescent="0.2">
      <c r="F478" s="2"/>
      <c r="I478" s="2"/>
      <c r="J478" s="2"/>
      <c r="M478" s="2"/>
      <c r="N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6:31" ht="12.75" x14ac:dyDescent="0.2">
      <c r="F479" s="2"/>
      <c r="I479" s="2"/>
      <c r="J479" s="2"/>
      <c r="M479" s="2"/>
      <c r="N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6:31" ht="12.75" x14ac:dyDescent="0.2">
      <c r="F480" s="2"/>
      <c r="I480" s="2"/>
      <c r="J480" s="2"/>
      <c r="M480" s="2"/>
      <c r="N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6:31" ht="12.75" x14ac:dyDescent="0.2">
      <c r="F481" s="2"/>
      <c r="I481" s="2"/>
      <c r="J481" s="2"/>
      <c r="M481" s="2"/>
      <c r="N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6:31" ht="12.75" x14ac:dyDescent="0.2">
      <c r="F482" s="2"/>
      <c r="I482" s="2"/>
      <c r="J482" s="2"/>
      <c r="M482" s="2"/>
      <c r="N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6:31" ht="12.75" x14ac:dyDescent="0.2">
      <c r="F483" s="2"/>
      <c r="I483" s="2"/>
      <c r="J483" s="2"/>
      <c r="M483" s="2"/>
      <c r="N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6:31" ht="12.75" x14ac:dyDescent="0.2">
      <c r="F484" s="2"/>
      <c r="I484" s="2"/>
      <c r="J484" s="2"/>
      <c r="M484" s="2"/>
      <c r="N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6:31" ht="12.75" x14ac:dyDescent="0.2">
      <c r="F485" s="2"/>
      <c r="I485" s="2"/>
      <c r="J485" s="2"/>
      <c r="M485" s="2"/>
      <c r="N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6:31" ht="12.75" x14ac:dyDescent="0.2">
      <c r="F486" s="2"/>
      <c r="I486" s="2"/>
      <c r="J486" s="2"/>
      <c r="M486" s="2"/>
      <c r="N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6:31" ht="12.75" x14ac:dyDescent="0.2">
      <c r="F487" s="2"/>
      <c r="I487" s="2"/>
      <c r="J487" s="2"/>
      <c r="M487" s="2"/>
      <c r="N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6:31" ht="12.75" x14ac:dyDescent="0.2">
      <c r="F488" s="2"/>
      <c r="I488" s="2"/>
      <c r="J488" s="2"/>
      <c r="M488" s="2"/>
      <c r="N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6:31" ht="12.75" x14ac:dyDescent="0.2">
      <c r="F489" s="2"/>
      <c r="I489" s="2"/>
      <c r="J489" s="2"/>
      <c r="M489" s="2"/>
      <c r="N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6:31" ht="12.75" x14ac:dyDescent="0.2">
      <c r="F490" s="2"/>
      <c r="I490" s="2"/>
      <c r="J490" s="2"/>
      <c r="M490" s="2"/>
      <c r="N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6:31" ht="12.75" x14ac:dyDescent="0.2">
      <c r="F491" s="2"/>
      <c r="I491" s="2"/>
      <c r="J491" s="2"/>
      <c r="M491" s="2"/>
      <c r="N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6:31" ht="12.75" x14ac:dyDescent="0.2">
      <c r="F492" s="2"/>
      <c r="I492" s="2"/>
      <c r="J492" s="2"/>
      <c r="M492" s="2"/>
      <c r="N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6:31" ht="12.75" x14ac:dyDescent="0.2">
      <c r="F493" s="2"/>
      <c r="I493" s="2"/>
      <c r="J493" s="2"/>
      <c r="M493" s="2"/>
      <c r="N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6:31" ht="12.75" x14ac:dyDescent="0.2">
      <c r="F494" s="2"/>
      <c r="I494" s="2"/>
      <c r="J494" s="2"/>
      <c r="M494" s="2"/>
      <c r="N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6:31" ht="12.75" x14ac:dyDescent="0.2">
      <c r="F495" s="2"/>
      <c r="I495" s="2"/>
      <c r="J495" s="2"/>
      <c r="M495" s="2"/>
      <c r="N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6:31" ht="12.75" x14ac:dyDescent="0.2">
      <c r="F496" s="2"/>
      <c r="I496" s="2"/>
      <c r="J496" s="2"/>
      <c r="M496" s="2"/>
      <c r="N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6:31" ht="12.75" x14ac:dyDescent="0.2">
      <c r="F497" s="2"/>
      <c r="I497" s="2"/>
      <c r="J497" s="2"/>
      <c r="M497" s="2"/>
      <c r="N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6:31" ht="12.75" x14ac:dyDescent="0.2">
      <c r="F498" s="2"/>
      <c r="I498" s="2"/>
      <c r="J498" s="2"/>
      <c r="M498" s="2"/>
      <c r="N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6:31" ht="12.75" x14ac:dyDescent="0.2">
      <c r="F499" s="2"/>
      <c r="I499" s="2"/>
      <c r="J499" s="2"/>
      <c r="M499" s="2"/>
      <c r="N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6:31" ht="12.75" x14ac:dyDescent="0.2">
      <c r="F500" s="2"/>
      <c r="I500" s="2"/>
      <c r="J500" s="2"/>
      <c r="M500" s="2"/>
      <c r="N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6:31" ht="12.75" x14ac:dyDescent="0.2">
      <c r="F501" s="2"/>
      <c r="I501" s="2"/>
      <c r="J501" s="2"/>
      <c r="M501" s="2"/>
      <c r="N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6:31" ht="12.75" x14ac:dyDescent="0.2">
      <c r="F502" s="2"/>
      <c r="I502" s="2"/>
      <c r="J502" s="2"/>
      <c r="M502" s="2"/>
      <c r="N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6:31" ht="12.75" x14ac:dyDescent="0.2">
      <c r="F503" s="2"/>
      <c r="I503" s="2"/>
      <c r="J503" s="2"/>
      <c r="M503" s="2"/>
      <c r="N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6:31" ht="12.75" x14ac:dyDescent="0.2">
      <c r="F504" s="2"/>
      <c r="I504" s="2"/>
      <c r="J504" s="2"/>
      <c r="M504" s="2"/>
      <c r="N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6:31" ht="12.75" x14ac:dyDescent="0.2">
      <c r="F505" s="2"/>
      <c r="I505" s="2"/>
      <c r="J505" s="2"/>
      <c r="M505" s="2"/>
      <c r="N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6:31" ht="12.75" x14ac:dyDescent="0.2">
      <c r="F506" s="2"/>
      <c r="I506" s="2"/>
      <c r="J506" s="2"/>
      <c r="M506" s="2"/>
      <c r="N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6:31" ht="12.75" x14ac:dyDescent="0.2">
      <c r="F507" s="2"/>
      <c r="I507" s="2"/>
      <c r="J507" s="2"/>
      <c r="M507" s="2"/>
      <c r="N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6:31" ht="12.75" x14ac:dyDescent="0.2">
      <c r="F508" s="2"/>
      <c r="I508" s="2"/>
      <c r="J508" s="2"/>
      <c r="M508" s="2"/>
      <c r="N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6:31" ht="12.75" x14ac:dyDescent="0.2">
      <c r="F509" s="2"/>
      <c r="I509" s="2"/>
      <c r="J509" s="2"/>
      <c r="M509" s="2"/>
      <c r="N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6:31" ht="12.75" x14ac:dyDescent="0.2">
      <c r="F510" s="2"/>
      <c r="I510" s="2"/>
      <c r="J510" s="2"/>
      <c r="M510" s="2"/>
      <c r="N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6:31" ht="12.75" x14ac:dyDescent="0.2">
      <c r="F511" s="2"/>
      <c r="I511" s="2"/>
      <c r="J511" s="2"/>
      <c r="M511" s="2"/>
      <c r="N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6:31" ht="12.75" x14ac:dyDescent="0.2">
      <c r="F512" s="2"/>
      <c r="I512" s="2"/>
      <c r="J512" s="2"/>
      <c r="M512" s="2"/>
      <c r="N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6:31" ht="12.75" x14ac:dyDescent="0.2">
      <c r="F513" s="2"/>
      <c r="I513" s="2"/>
      <c r="J513" s="2"/>
      <c r="M513" s="2"/>
      <c r="N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6:31" ht="12.75" x14ac:dyDescent="0.2">
      <c r="F514" s="2"/>
      <c r="I514" s="2"/>
      <c r="J514" s="2"/>
      <c r="M514" s="2"/>
      <c r="N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6:31" ht="12.75" x14ac:dyDescent="0.2">
      <c r="F515" s="2"/>
      <c r="I515" s="2"/>
      <c r="J515" s="2"/>
      <c r="M515" s="2"/>
      <c r="N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6:31" ht="12.75" x14ac:dyDescent="0.2">
      <c r="F516" s="2"/>
      <c r="I516" s="2"/>
      <c r="J516" s="2"/>
      <c r="M516" s="2"/>
      <c r="N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6:31" ht="12.75" x14ac:dyDescent="0.2">
      <c r="F517" s="2"/>
      <c r="I517" s="2"/>
      <c r="J517" s="2"/>
      <c r="M517" s="2"/>
      <c r="N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6:31" ht="12.75" x14ac:dyDescent="0.2">
      <c r="F518" s="2"/>
      <c r="I518" s="2"/>
      <c r="J518" s="2"/>
      <c r="M518" s="2"/>
      <c r="N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6:31" ht="12.75" x14ac:dyDescent="0.2">
      <c r="F519" s="2"/>
      <c r="I519" s="2"/>
      <c r="J519" s="2"/>
      <c r="M519" s="2"/>
      <c r="N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6:31" ht="12.75" x14ac:dyDescent="0.2">
      <c r="F520" s="2"/>
      <c r="I520" s="2"/>
      <c r="J520" s="2"/>
      <c r="M520" s="2"/>
      <c r="N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6:31" ht="12.75" x14ac:dyDescent="0.2">
      <c r="F521" s="2"/>
      <c r="I521" s="2"/>
      <c r="J521" s="2"/>
      <c r="M521" s="2"/>
      <c r="N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6:31" ht="12.75" x14ac:dyDescent="0.2">
      <c r="F522" s="2"/>
      <c r="I522" s="2"/>
      <c r="J522" s="2"/>
      <c r="M522" s="2"/>
      <c r="N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6:31" ht="12.75" x14ac:dyDescent="0.2">
      <c r="F523" s="2"/>
      <c r="I523" s="2"/>
      <c r="J523" s="2"/>
      <c r="M523" s="2"/>
      <c r="N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6:31" ht="12.75" x14ac:dyDescent="0.2">
      <c r="F524" s="2"/>
      <c r="I524" s="2"/>
      <c r="J524" s="2"/>
      <c r="M524" s="2"/>
      <c r="N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6:31" ht="12.75" x14ac:dyDescent="0.2">
      <c r="F525" s="2"/>
      <c r="I525" s="2"/>
      <c r="J525" s="2"/>
      <c r="M525" s="2"/>
      <c r="N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6:31" ht="12.75" x14ac:dyDescent="0.2">
      <c r="F526" s="2"/>
      <c r="I526" s="2"/>
      <c r="J526" s="2"/>
      <c r="M526" s="2"/>
      <c r="N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6:31" ht="12.75" x14ac:dyDescent="0.2">
      <c r="F527" s="2"/>
      <c r="I527" s="2"/>
      <c r="J527" s="2"/>
      <c r="M527" s="2"/>
      <c r="N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6:31" ht="12.75" x14ac:dyDescent="0.2">
      <c r="F528" s="2"/>
      <c r="I528" s="2"/>
      <c r="J528" s="2"/>
      <c r="M528" s="2"/>
      <c r="N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6:31" ht="12.75" x14ac:dyDescent="0.2">
      <c r="F529" s="2"/>
      <c r="I529" s="2"/>
      <c r="J529" s="2"/>
      <c r="M529" s="2"/>
      <c r="N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6:31" ht="12.75" x14ac:dyDescent="0.2">
      <c r="F530" s="2"/>
      <c r="I530" s="2"/>
      <c r="J530" s="2"/>
      <c r="M530" s="2"/>
      <c r="N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6:31" ht="12.75" x14ac:dyDescent="0.2">
      <c r="F531" s="2"/>
      <c r="I531" s="2"/>
      <c r="J531" s="2"/>
      <c r="M531" s="2"/>
      <c r="N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6:31" ht="12.75" x14ac:dyDescent="0.2">
      <c r="F532" s="2"/>
      <c r="I532" s="2"/>
      <c r="J532" s="2"/>
      <c r="M532" s="2"/>
      <c r="N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6:31" ht="12.75" x14ac:dyDescent="0.2">
      <c r="F533" s="2"/>
      <c r="I533" s="2"/>
      <c r="J533" s="2"/>
      <c r="M533" s="2"/>
      <c r="N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6:31" ht="12.75" x14ac:dyDescent="0.2">
      <c r="F534" s="2"/>
      <c r="I534" s="2"/>
      <c r="J534" s="2"/>
      <c r="M534" s="2"/>
      <c r="N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6:31" ht="12.75" x14ac:dyDescent="0.2">
      <c r="F535" s="2"/>
      <c r="I535" s="2"/>
      <c r="J535" s="2"/>
      <c r="M535" s="2"/>
      <c r="N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6:31" ht="12.75" x14ac:dyDescent="0.2">
      <c r="F536" s="2"/>
      <c r="I536" s="2"/>
      <c r="J536" s="2"/>
      <c r="M536" s="2"/>
      <c r="N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6:31" ht="12.75" x14ac:dyDescent="0.2">
      <c r="F537" s="2"/>
      <c r="I537" s="2"/>
      <c r="J537" s="2"/>
      <c r="M537" s="2"/>
      <c r="N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6:31" ht="12.75" x14ac:dyDescent="0.2">
      <c r="F538" s="2"/>
      <c r="I538" s="2"/>
      <c r="J538" s="2"/>
      <c r="M538" s="2"/>
      <c r="N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6:31" ht="12.75" x14ac:dyDescent="0.2">
      <c r="F539" s="2"/>
      <c r="I539" s="2"/>
      <c r="J539" s="2"/>
      <c r="M539" s="2"/>
      <c r="N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6:31" ht="12.75" x14ac:dyDescent="0.2">
      <c r="F540" s="2"/>
      <c r="I540" s="2"/>
      <c r="J540" s="2"/>
      <c r="M540" s="2"/>
      <c r="N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6:31" ht="12.75" x14ac:dyDescent="0.2">
      <c r="F541" s="2"/>
      <c r="I541" s="2"/>
      <c r="J541" s="2"/>
      <c r="M541" s="2"/>
      <c r="N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6:31" ht="12.75" x14ac:dyDescent="0.2">
      <c r="F542" s="2"/>
      <c r="I542" s="2"/>
      <c r="J542" s="2"/>
      <c r="M542" s="2"/>
      <c r="N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6:31" ht="12.75" x14ac:dyDescent="0.2">
      <c r="F543" s="2"/>
      <c r="I543" s="2"/>
      <c r="J543" s="2"/>
      <c r="M543" s="2"/>
      <c r="N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6:31" ht="12.75" x14ac:dyDescent="0.2">
      <c r="F544" s="2"/>
      <c r="I544" s="2"/>
      <c r="J544" s="2"/>
      <c r="M544" s="2"/>
      <c r="N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6:31" ht="12.75" x14ac:dyDescent="0.2">
      <c r="F545" s="2"/>
      <c r="I545" s="2"/>
      <c r="J545" s="2"/>
      <c r="M545" s="2"/>
      <c r="N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6:31" ht="12.75" x14ac:dyDescent="0.2">
      <c r="F546" s="2"/>
      <c r="I546" s="2"/>
      <c r="J546" s="2"/>
      <c r="M546" s="2"/>
      <c r="N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6:31" ht="12.75" x14ac:dyDescent="0.2">
      <c r="F547" s="2"/>
      <c r="I547" s="2"/>
      <c r="J547" s="2"/>
      <c r="M547" s="2"/>
      <c r="N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6:31" ht="12.75" x14ac:dyDescent="0.2">
      <c r="F548" s="2"/>
      <c r="I548" s="2"/>
      <c r="J548" s="2"/>
      <c r="M548" s="2"/>
      <c r="N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6:31" ht="12.75" x14ac:dyDescent="0.2">
      <c r="F549" s="2"/>
      <c r="I549" s="2"/>
      <c r="J549" s="2"/>
      <c r="M549" s="2"/>
      <c r="N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6:31" ht="12.75" x14ac:dyDescent="0.2">
      <c r="F550" s="2"/>
      <c r="I550" s="2"/>
      <c r="J550" s="2"/>
      <c r="M550" s="2"/>
      <c r="N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6:31" ht="12.75" x14ac:dyDescent="0.2">
      <c r="F551" s="2"/>
      <c r="I551" s="2"/>
      <c r="J551" s="2"/>
      <c r="M551" s="2"/>
      <c r="N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6:31" ht="12.75" x14ac:dyDescent="0.2">
      <c r="F552" s="2"/>
      <c r="I552" s="2"/>
      <c r="J552" s="2"/>
      <c r="M552" s="2"/>
      <c r="N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6:31" ht="12.75" x14ac:dyDescent="0.2">
      <c r="F553" s="2"/>
      <c r="I553" s="2"/>
      <c r="J553" s="2"/>
      <c r="M553" s="2"/>
      <c r="N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6:31" ht="12.75" x14ac:dyDescent="0.2">
      <c r="F554" s="2"/>
      <c r="I554" s="2"/>
      <c r="J554" s="2"/>
      <c r="M554" s="2"/>
      <c r="N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6:31" ht="12.75" x14ac:dyDescent="0.2">
      <c r="F555" s="2"/>
      <c r="I555" s="2"/>
      <c r="J555" s="2"/>
      <c r="M555" s="2"/>
      <c r="N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6:31" ht="12.75" x14ac:dyDescent="0.2">
      <c r="F556" s="2"/>
      <c r="I556" s="2"/>
      <c r="J556" s="2"/>
      <c r="M556" s="2"/>
      <c r="N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6:31" ht="12.75" x14ac:dyDescent="0.2">
      <c r="F557" s="2"/>
      <c r="I557" s="2"/>
      <c r="J557" s="2"/>
      <c r="M557" s="2"/>
      <c r="N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6:31" ht="12.75" x14ac:dyDescent="0.2">
      <c r="F558" s="2"/>
      <c r="I558" s="2"/>
      <c r="J558" s="2"/>
      <c r="M558" s="2"/>
      <c r="N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6:31" ht="12.75" x14ac:dyDescent="0.2">
      <c r="F559" s="2"/>
      <c r="I559" s="2"/>
      <c r="J559" s="2"/>
      <c r="M559" s="2"/>
      <c r="N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6:31" ht="12.75" x14ac:dyDescent="0.2">
      <c r="F560" s="2"/>
      <c r="I560" s="2"/>
      <c r="J560" s="2"/>
      <c r="M560" s="2"/>
      <c r="N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6:31" ht="12.75" x14ac:dyDescent="0.2">
      <c r="F561" s="2"/>
      <c r="I561" s="2"/>
      <c r="J561" s="2"/>
      <c r="M561" s="2"/>
      <c r="N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6:31" ht="12.75" x14ac:dyDescent="0.2">
      <c r="F562" s="2"/>
      <c r="I562" s="2"/>
      <c r="J562" s="2"/>
      <c r="M562" s="2"/>
      <c r="N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6:31" ht="12.75" x14ac:dyDescent="0.2">
      <c r="F563" s="2"/>
      <c r="I563" s="2"/>
      <c r="J563" s="2"/>
      <c r="M563" s="2"/>
      <c r="N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6:31" ht="12.75" x14ac:dyDescent="0.2">
      <c r="F564" s="2"/>
      <c r="I564" s="2"/>
      <c r="J564" s="2"/>
      <c r="M564" s="2"/>
      <c r="N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6:31" ht="12.75" x14ac:dyDescent="0.2">
      <c r="F565" s="2"/>
      <c r="I565" s="2"/>
      <c r="J565" s="2"/>
      <c r="M565" s="2"/>
      <c r="N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6:31" ht="12.75" x14ac:dyDescent="0.2">
      <c r="F566" s="2"/>
      <c r="I566" s="2"/>
      <c r="J566" s="2"/>
      <c r="M566" s="2"/>
      <c r="N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6:31" ht="12.75" x14ac:dyDescent="0.2">
      <c r="F567" s="2"/>
      <c r="I567" s="2"/>
      <c r="J567" s="2"/>
      <c r="M567" s="2"/>
      <c r="N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6:31" ht="12.75" x14ac:dyDescent="0.2">
      <c r="F568" s="2"/>
      <c r="I568" s="2"/>
      <c r="J568" s="2"/>
      <c r="M568" s="2"/>
      <c r="N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6:31" ht="12.75" x14ac:dyDescent="0.2">
      <c r="F569" s="2"/>
      <c r="I569" s="2"/>
      <c r="J569" s="2"/>
      <c r="M569" s="2"/>
      <c r="N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6:31" ht="12.75" x14ac:dyDescent="0.2">
      <c r="F570" s="2"/>
      <c r="I570" s="2"/>
      <c r="J570" s="2"/>
      <c r="M570" s="2"/>
      <c r="N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6:31" ht="12.75" x14ac:dyDescent="0.2">
      <c r="F571" s="2"/>
      <c r="I571" s="2"/>
      <c r="J571" s="2"/>
      <c r="M571" s="2"/>
      <c r="N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6:31" ht="12.75" x14ac:dyDescent="0.2">
      <c r="F572" s="2"/>
      <c r="I572" s="2"/>
      <c r="J572" s="2"/>
      <c r="M572" s="2"/>
      <c r="N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6:31" ht="12.75" x14ac:dyDescent="0.2">
      <c r="F573" s="2"/>
      <c r="I573" s="2"/>
      <c r="J573" s="2"/>
      <c r="M573" s="2"/>
      <c r="N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6:31" ht="12.75" x14ac:dyDescent="0.2">
      <c r="F574" s="2"/>
      <c r="I574" s="2"/>
      <c r="J574" s="2"/>
      <c r="M574" s="2"/>
      <c r="N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6:31" ht="12.75" x14ac:dyDescent="0.2">
      <c r="F575" s="2"/>
      <c r="I575" s="2"/>
      <c r="J575" s="2"/>
      <c r="M575" s="2"/>
      <c r="N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6:31" ht="12.75" x14ac:dyDescent="0.2">
      <c r="F576" s="2"/>
      <c r="I576" s="2"/>
      <c r="J576" s="2"/>
      <c r="M576" s="2"/>
      <c r="N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6:31" ht="12.75" x14ac:dyDescent="0.2">
      <c r="F577" s="2"/>
      <c r="I577" s="2"/>
      <c r="J577" s="2"/>
      <c r="M577" s="2"/>
      <c r="N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6:31" ht="12.75" x14ac:dyDescent="0.2">
      <c r="F578" s="2"/>
      <c r="I578" s="2"/>
      <c r="J578" s="2"/>
      <c r="M578" s="2"/>
      <c r="N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6:31" ht="12.75" x14ac:dyDescent="0.2">
      <c r="F579" s="2"/>
      <c r="I579" s="2"/>
      <c r="J579" s="2"/>
      <c r="M579" s="2"/>
      <c r="N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6:31" ht="12.75" x14ac:dyDescent="0.2">
      <c r="F580" s="2"/>
      <c r="I580" s="2"/>
      <c r="J580" s="2"/>
      <c r="M580" s="2"/>
      <c r="N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6:31" ht="12.75" x14ac:dyDescent="0.2">
      <c r="F581" s="2"/>
      <c r="I581" s="2"/>
      <c r="J581" s="2"/>
      <c r="M581" s="2"/>
      <c r="N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6:31" ht="12.75" x14ac:dyDescent="0.2">
      <c r="F582" s="2"/>
      <c r="I582" s="2"/>
      <c r="J582" s="2"/>
      <c r="M582" s="2"/>
      <c r="N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6:31" ht="12.75" x14ac:dyDescent="0.2">
      <c r="F583" s="2"/>
      <c r="I583" s="2"/>
      <c r="J583" s="2"/>
      <c r="M583" s="2"/>
      <c r="N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6:31" ht="12.75" x14ac:dyDescent="0.2">
      <c r="F584" s="2"/>
      <c r="I584" s="2"/>
      <c r="J584" s="2"/>
      <c r="M584" s="2"/>
      <c r="N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6:31" ht="12.75" x14ac:dyDescent="0.2">
      <c r="F585" s="2"/>
      <c r="I585" s="2"/>
      <c r="J585" s="2"/>
      <c r="M585" s="2"/>
      <c r="N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6:31" ht="12.75" x14ac:dyDescent="0.2">
      <c r="F586" s="2"/>
      <c r="I586" s="2"/>
      <c r="J586" s="2"/>
      <c r="M586" s="2"/>
      <c r="N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6:31" ht="12.75" x14ac:dyDescent="0.2">
      <c r="F587" s="2"/>
      <c r="I587" s="2"/>
      <c r="J587" s="2"/>
      <c r="M587" s="2"/>
      <c r="N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6:31" ht="12.75" x14ac:dyDescent="0.2">
      <c r="F588" s="2"/>
      <c r="I588" s="2"/>
      <c r="J588" s="2"/>
      <c r="M588" s="2"/>
      <c r="N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6:31" ht="12.75" x14ac:dyDescent="0.2">
      <c r="F589" s="2"/>
      <c r="I589" s="2"/>
      <c r="J589" s="2"/>
      <c r="M589" s="2"/>
      <c r="N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6:31" ht="12.75" x14ac:dyDescent="0.2">
      <c r="F590" s="2"/>
      <c r="I590" s="2"/>
      <c r="J590" s="2"/>
      <c r="M590" s="2"/>
      <c r="N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6:31" ht="12.75" x14ac:dyDescent="0.2">
      <c r="F591" s="2"/>
      <c r="I591" s="2"/>
      <c r="J591" s="2"/>
      <c r="M591" s="2"/>
      <c r="N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6:31" ht="12.75" x14ac:dyDescent="0.2">
      <c r="F592" s="2"/>
      <c r="I592" s="2"/>
      <c r="J592" s="2"/>
      <c r="M592" s="2"/>
      <c r="N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6:31" ht="12.75" x14ac:dyDescent="0.2">
      <c r="F593" s="2"/>
      <c r="I593" s="2"/>
      <c r="J593" s="2"/>
      <c r="M593" s="2"/>
      <c r="N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6:31" ht="12.75" x14ac:dyDescent="0.2">
      <c r="F594" s="2"/>
      <c r="I594" s="2"/>
      <c r="J594" s="2"/>
      <c r="M594" s="2"/>
      <c r="N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6:31" ht="12.75" x14ac:dyDescent="0.2">
      <c r="F595" s="2"/>
      <c r="I595" s="2"/>
      <c r="J595" s="2"/>
      <c r="M595" s="2"/>
      <c r="N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6:31" ht="12.75" x14ac:dyDescent="0.2">
      <c r="F596" s="2"/>
      <c r="I596" s="2"/>
      <c r="J596" s="2"/>
      <c r="M596" s="2"/>
      <c r="N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6:31" ht="12.75" x14ac:dyDescent="0.2">
      <c r="F597" s="2"/>
      <c r="I597" s="2"/>
      <c r="J597" s="2"/>
      <c r="M597" s="2"/>
      <c r="N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6:31" ht="12.75" x14ac:dyDescent="0.2">
      <c r="F598" s="2"/>
      <c r="I598" s="2"/>
      <c r="J598" s="2"/>
      <c r="M598" s="2"/>
      <c r="N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6:31" ht="12.75" x14ac:dyDescent="0.2">
      <c r="F599" s="2"/>
      <c r="I599" s="2"/>
      <c r="J599" s="2"/>
      <c r="M599" s="2"/>
      <c r="N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6:31" ht="12.75" x14ac:dyDescent="0.2">
      <c r="F600" s="2"/>
      <c r="I600" s="2"/>
      <c r="J600" s="2"/>
      <c r="M600" s="2"/>
      <c r="N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6:31" ht="12.75" x14ac:dyDescent="0.2">
      <c r="F601" s="2"/>
      <c r="I601" s="2"/>
      <c r="J601" s="2"/>
      <c r="M601" s="2"/>
      <c r="N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6:31" ht="12.75" x14ac:dyDescent="0.2">
      <c r="F602" s="2"/>
      <c r="I602" s="2"/>
      <c r="J602" s="2"/>
      <c r="M602" s="2"/>
      <c r="N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6:31" ht="12.75" x14ac:dyDescent="0.2">
      <c r="F603" s="2"/>
      <c r="I603" s="2"/>
      <c r="J603" s="2"/>
      <c r="M603" s="2"/>
      <c r="N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6:31" ht="12.75" x14ac:dyDescent="0.2">
      <c r="F604" s="2"/>
      <c r="I604" s="2"/>
      <c r="J604" s="2"/>
      <c r="M604" s="2"/>
      <c r="N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6:31" ht="12.75" x14ac:dyDescent="0.2">
      <c r="F605" s="2"/>
      <c r="I605" s="2"/>
      <c r="J605" s="2"/>
      <c r="M605" s="2"/>
      <c r="N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6:31" ht="12.75" x14ac:dyDescent="0.2">
      <c r="F606" s="2"/>
      <c r="I606" s="2"/>
      <c r="J606" s="2"/>
      <c r="M606" s="2"/>
      <c r="N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6:31" ht="12.75" x14ac:dyDescent="0.2">
      <c r="F607" s="2"/>
      <c r="I607" s="2"/>
      <c r="J607" s="2"/>
      <c r="M607" s="2"/>
      <c r="N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6:31" ht="12.75" x14ac:dyDescent="0.2">
      <c r="F608" s="2"/>
      <c r="I608" s="2"/>
      <c r="J608" s="2"/>
      <c r="M608" s="2"/>
      <c r="N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6:31" ht="12.75" x14ac:dyDescent="0.2">
      <c r="F609" s="2"/>
      <c r="I609" s="2"/>
      <c r="J609" s="2"/>
      <c r="M609" s="2"/>
      <c r="N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6:31" ht="12.75" x14ac:dyDescent="0.2">
      <c r="F610" s="2"/>
      <c r="I610" s="2"/>
      <c r="J610" s="2"/>
      <c r="M610" s="2"/>
      <c r="N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6:31" ht="12.75" x14ac:dyDescent="0.2">
      <c r="F611" s="2"/>
      <c r="I611" s="2"/>
      <c r="J611" s="2"/>
      <c r="M611" s="2"/>
      <c r="N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6:31" ht="12.75" x14ac:dyDescent="0.2">
      <c r="F612" s="2"/>
      <c r="I612" s="2"/>
      <c r="J612" s="2"/>
      <c r="M612" s="2"/>
      <c r="N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6:31" ht="12.75" x14ac:dyDescent="0.2">
      <c r="F613" s="2"/>
      <c r="I613" s="2"/>
      <c r="J613" s="2"/>
      <c r="M613" s="2"/>
      <c r="N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6:31" ht="12.75" x14ac:dyDescent="0.2">
      <c r="F614" s="2"/>
      <c r="I614" s="2"/>
      <c r="J614" s="2"/>
      <c r="M614" s="2"/>
      <c r="N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6:31" ht="12.75" x14ac:dyDescent="0.2">
      <c r="F615" s="2"/>
      <c r="I615" s="2"/>
      <c r="J615" s="2"/>
      <c r="M615" s="2"/>
      <c r="N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6:31" ht="12.75" x14ac:dyDescent="0.2">
      <c r="F616" s="2"/>
      <c r="I616" s="2"/>
      <c r="J616" s="2"/>
      <c r="M616" s="2"/>
      <c r="N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6:31" ht="12.75" x14ac:dyDescent="0.2">
      <c r="F617" s="2"/>
      <c r="I617" s="2"/>
      <c r="J617" s="2"/>
      <c r="M617" s="2"/>
      <c r="N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6:31" ht="12.75" x14ac:dyDescent="0.2">
      <c r="F618" s="2"/>
      <c r="I618" s="2"/>
      <c r="J618" s="2"/>
      <c r="M618" s="2"/>
      <c r="N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6:31" ht="12.75" x14ac:dyDescent="0.2">
      <c r="F619" s="2"/>
      <c r="I619" s="2"/>
      <c r="J619" s="2"/>
      <c r="M619" s="2"/>
      <c r="N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6:31" ht="12.75" x14ac:dyDescent="0.2">
      <c r="F620" s="2"/>
      <c r="I620" s="2"/>
      <c r="J620" s="2"/>
      <c r="M620" s="2"/>
      <c r="N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6:31" ht="12.75" x14ac:dyDescent="0.2">
      <c r="F621" s="2"/>
      <c r="I621" s="2"/>
      <c r="J621" s="2"/>
      <c r="M621" s="2"/>
      <c r="N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6:31" ht="12.75" x14ac:dyDescent="0.2">
      <c r="F622" s="2"/>
      <c r="I622" s="2"/>
      <c r="J622" s="2"/>
      <c r="M622" s="2"/>
      <c r="N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6:31" ht="12.75" x14ac:dyDescent="0.2">
      <c r="F623" s="2"/>
      <c r="I623" s="2"/>
      <c r="J623" s="2"/>
      <c r="M623" s="2"/>
      <c r="N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6:31" ht="12.75" x14ac:dyDescent="0.2">
      <c r="F624" s="2"/>
      <c r="I624" s="2"/>
      <c r="J624" s="2"/>
      <c r="M624" s="2"/>
      <c r="N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6:31" ht="12.75" x14ac:dyDescent="0.2">
      <c r="F625" s="2"/>
      <c r="I625" s="2"/>
      <c r="J625" s="2"/>
      <c r="M625" s="2"/>
      <c r="N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6:31" ht="12.75" x14ac:dyDescent="0.2">
      <c r="F626" s="2"/>
      <c r="I626" s="2"/>
      <c r="J626" s="2"/>
      <c r="M626" s="2"/>
      <c r="N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6:31" ht="12.75" x14ac:dyDescent="0.2">
      <c r="F627" s="2"/>
      <c r="I627" s="2"/>
      <c r="J627" s="2"/>
      <c r="M627" s="2"/>
      <c r="N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6:31" ht="12.75" x14ac:dyDescent="0.2">
      <c r="F628" s="2"/>
      <c r="I628" s="2"/>
      <c r="J628" s="2"/>
      <c r="M628" s="2"/>
      <c r="N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6:31" ht="12.75" x14ac:dyDescent="0.2">
      <c r="F629" s="2"/>
      <c r="I629" s="2"/>
      <c r="J629" s="2"/>
      <c r="M629" s="2"/>
      <c r="N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6:31" ht="12.75" x14ac:dyDescent="0.2">
      <c r="F630" s="2"/>
      <c r="I630" s="2"/>
      <c r="J630" s="2"/>
      <c r="M630" s="2"/>
      <c r="N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6:31" ht="12.75" x14ac:dyDescent="0.2">
      <c r="F631" s="2"/>
      <c r="I631" s="2"/>
      <c r="J631" s="2"/>
      <c r="M631" s="2"/>
      <c r="N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6:31" ht="12.75" x14ac:dyDescent="0.2">
      <c r="F632" s="2"/>
      <c r="I632" s="2"/>
      <c r="J632" s="2"/>
      <c r="M632" s="2"/>
      <c r="N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6:31" ht="12.75" x14ac:dyDescent="0.2">
      <c r="F633" s="2"/>
      <c r="I633" s="2"/>
      <c r="J633" s="2"/>
      <c r="M633" s="2"/>
      <c r="N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6:31" ht="12.75" x14ac:dyDescent="0.2">
      <c r="F634" s="2"/>
      <c r="I634" s="2"/>
      <c r="J634" s="2"/>
      <c r="M634" s="2"/>
      <c r="N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6:31" ht="12.75" x14ac:dyDescent="0.2">
      <c r="F635" s="2"/>
      <c r="I635" s="2"/>
      <c r="J635" s="2"/>
      <c r="M635" s="2"/>
      <c r="N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6:31" ht="12.75" x14ac:dyDescent="0.2">
      <c r="F636" s="2"/>
      <c r="I636" s="2"/>
      <c r="J636" s="2"/>
      <c r="M636" s="2"/>
      <c r="N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6:31" ht="12.75" x14ac:dyDescent="0.2">
      <c r="F637" s="2"/>
      <c r="I637" s="2"/>
      <c r="J637" s="2"/>
      <c r="M637" s="2"/>
      <c r="N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6:31" ht="12.75" x14ac:dyDescent="0.2">
      <c r="F638" s="2"/>
      <c r="I638" s="2"/>
      <c r="J638" s="2"/>
      <c r="M638" s="2"/>
      <c r="N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6:31" ht="12.75" x14ac:dyDescent="0.2">
      <c r="F639" s="2"/>
      <c r="I639" s="2"/>
      <c r="J639" s="2"/>
      <c r="M639" s="2"/>
      <c r="N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6:31" ht="12.75" x14ac:dyDescent="0.2">
      <c r="F640" s="2"/>
      <c r="I640" s="2"/>
      <c r="J640" s="2"/>
      <c r="M640" s="2"/>
      <c r="N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6:31" ht="12.75" x14ac:dyDescent="0.2">
      <c r="F641" s="2"/>
      <c r="I641" s="2"/>
      <c r="J641" s="2"/>
      <c r="M641" s="2"/>
      <c r="N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6:31" ht="12.75" x14ac:dyDescent="0.2">
      <c r="F642" s="2"/>
      <c r="I642" s="2"/>
      <c r="J642" s="2"/>
      <c r="M642" s="2"/>
      <c r="N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6:31" ht="12.75" x14ac:dyDescent="0.2">
      <c r="F643" s="2"/>
      <c r="I643" s="2"/>
      <c r="J643" s="2"/>
      <c r="M643" s="2"/>
      <c r="N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6:31" ht="12.75" x14ac:dyDescent="0.2">
      <c r="F644" s="2"/>
      <c r="I644" s="2"/>
      <c r="J644" s="2"/>
      <c r="M644" s="2"/>
      <c r="N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6:31" ht="12.75" x14ac:dyDescent="0.2">
      <c r="F645" s="2"/>
      <c r="I645" s="2"/>
      <c r="J645" s="2"/>
      <c r="M645" s="2"/>
      <c r="N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6:31" ht="12.75" x14ac:dyDescent="0.2">
      <c r="F646" s="2"/>
      <c r="I646" s="2"/>
      <c r="J646" s="2"/>
      <c r="M646" s="2"/>
      <c r="N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6:31" ht="12.75" x14ac:dyDescent="0.2">
      <c r="F647" s="2"/>
      <c r="I647" s="2"/>
      <c r="J647" s="2"/>
      <c r="M647" s="2"/>
      <c r="N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6:31" ht="12.75" x14ac:dyDescent="0.2">
      <c r="F648" s="2"/>
      <c r="I648" s="2"/>
      <c r="J648" s="2"/>
      <c r="M648" s="2"/>
      <c r="N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6:31" ht="12.75" x14ac:dyDescent="0.2">
      <c r="F649" s="2"/>
      <c r="I649" s="2"/>
      <c r="J649" s="2"/>
      <c r="M649" s="2"/>
      <c r="N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6:31" ht="12.75" x14ac:dyDescent="0.2">
      <c r="F650" s="2"/>
      <c r="I650" s="2"/>
      <c r="J650" s="2"/>
      <c r="M650" s="2"/>
      <c r="N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6:31" ht="12.75" x14ac:dyDescent="0.2">
      <c r="F651" s="2"/>
      <c r="I651" s="2"/>
      <c r="J651" s="2"/>
      <c r="M651" s="2"/>
      <c r="N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6:31" ht="12.75" x14ac:dyDescent="0.2">
      <c r="F652" s="2"/>
      <c r="I652" s="2"/>
      <c r="J652" s="2"/>
      <c r="M652" s="2"/>
      <c r="N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6:31" ht="12.75" x14ac:dyDescent="0.2">
      <c r="F653" s="2"/>
      <c r="I653" s="2"/>
      <c r="J653" s="2"/>
      <c r="M653" s="2"/>
      <c r="N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6:31" ht="12.75" x14ac:dyDescent="0.2">
      <c r="F654" s="2"/>
      <c r="I654" s="2"/>
      <c r="J654" s="2"/>
      <c r="M654" s="2"/>
      <c r="N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6:31" ht="12.75" x14ac:dyDescent="0.2">
      <c r="F655" s="2"/>
      <c r="I655" s="2"/>
      <c r="J655" s="2"/>
      <c r="M655" s="2"/>
      <c r="N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6:31" ht="12.75" x14ac:dyDescent="0.2">
      <c r="F656" s="2"/>
      <c r="I656" s="2"/>
      <c r="J656" s="2"/>
      <c r="M656" s="2"/>
      <c r="N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6:31" ht="12.75" x14ac:dyDescent="0.2">
      <c r="F657" s="2"/>
      <c r="I657" s="2"/>
      <c r="J657" s="2"/>
      <c r="M657" s="2"/>
      <c r="N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6:31" ht="12.75" x14ac:dyDescent="0.2">
      <c r="F658" s="2"/>
      <c r="I658" s="2"/>
      <c r="J658" s="2"/>
      <c r="M658" s="2"/>
      <c r="N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6:31" ht="12.75" x14ac:dyDescent="0.2">
      <c r="F659" s="2"/>
      <c r="I659" s="2"/>
      <c r="J659" s="2"/>
      <c r="M659" s="2"/>
      <c r="N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6:31" ht="12.75" x14ac:dyDescent="0.2">
      <c r="F660" s="2"/>
      <c r="I660" s="2"/>
      <c r="J660" s="2"/>
      <c r="M660" s="2"/>
      <c r="N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6:31" ht="12.75" x14ac:dyDescent="0.2">
      <c r="F661" s="2"/>
      <c r="I661" s="2"/>
      <c r="J661" s="2"/>
      <c r="M661" s="2"/>
      <c r="N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6:31" ht="12.75" x14ac:dyDescent="0.2">
      <c r="F662" s="2"/>
      <c r="I662" s="2"/>
      <c r="J662" s="2"/>
      <c r="M662" s="2"/>
      <c r="N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6:31" ht="12.75" x14ac:dyDescent="0.2">
      <c r="F663" s="2"/>
      <c r="I663" s="2"/>
      <c r="J663" s="2"/>
      <c r="M663" s="2"/>
      <c r="N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6:31" ht="12.75" x14ac:dyDescent="0.2">
      <c r="F664" s="2"/>
      <c r="I664" s="2"/>
      <c r="J664" s="2"/>
      <c r="M664" s="2"/>
      <c r="N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6:31" ht="12.75" x14ac:dyDescent="0.2">
      <c r="F665" s="2"/>
      <c r="I665" s="2"/>
      <c r="J665" s="2"/>
      <c r="M665" s="2"/>
      <c r="N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6:31" ht="12.75" x14ac:dyDescent="0.2">
      <c r="F666" s="2"/>
      <c r="I666" s="2"/>
      <c r="J666" s="2"/>
      <c r="M666" s="2"/>
      <c r="N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6:31" ht="12.75" x14ac:dyDescent="0.2">
      <c r="F667" s="2"/>
      <c r="I667" s="2"/>
      <c r="J667" s="2"/>
      <c r="M667" s="2"/>
      <c r="N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6:31" ht="12.75" x14ac:dyDescent="0.2">
      <c r="F668" s="2"/>
      <c r="I668" s="2"/>
      <c r="J668" s="2"/>
      <c r="M668" s="2"/>
      <c r="N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6:31" ht="12.75" x14ac:dyDescent="0.2">
      <c r="F669" s="2"/>
      <c r="I669" s="2"/>
      <c r="J669" s="2"/>
      <c r="M669" s="2"/>
      <c r="N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6:31" ht="12.75" x14ac:dyDescent="0.2">
      <c r="F670" s="2"/>
      <c r="I670" s="2"/>
      <c r="J670" s="2"/>
      <c r="M670" s="2"/>
      <c r="N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6:31" ht="12.75" x14ac:dyDescent="0.2">
      <c r="F671" s="2"/>
      <c r="I671" s="2"/>
      <c r="J671" s="2"/>
      <c r="M671" s="2"/>
      <c r="N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6:31" ht="12.75" x14ac:dyDescent="0.2">
      <c r="F672" s="2"/>
      <c r="I672" s="2"/>
      <c r="J672" s="2"/>
      <c r="M672" s="2"/>
      <c r="N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6:31" ht="12.75" x14ac:dyDescent="0.2">
      <c r="F673" s="2"/>
      <c r="I673" s="2"/>
      <c r="J673" s="2"/>
      <c r="M673" s="2"/>
      <c r="N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6:31" ht="12.75" x14ac:dyDescent="0.2">
      <c r="F674" s="2"/>
      <c r="I674" s="2"/>
      <c r="J674" s="2"/>
      <c r="M674" s="2"/>
      <c r="N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6:31" ht="12.75" x14ac:dyDescent="0.2">
      <c r="F675" s="2"/>
      <c r="I675" s="2"/>
      <c r="J675" s="2"/>
      <c r="M675" s="2"/>
      <c r="N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6:31" ht="12.75" x14ac:dyDescent="0.2">
      <c r="F676" s="2"/>
      <c r="I676" s="2"/>
      <c r="J676" s="2"/>
      <c r="M676" s="2"/>
      <c r="N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6:31" ht="12.75" x14ac:dyDescent="0.2">
      <c r="F677" s="2"/>
      <c r="I677" s="2"/>
      <c r="J677" s="2"/>
      <c r="M677" s="2"/>
      <c r="N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6:31" ht="12.75" x14ac:dyDescent="0.2">
      <c r="F678" s="2"/>
      <c r="I678" s="2"/>
      <c r="J678" s="2"/>
      <c r="M678" s="2"/>
      <c r="N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6:31" ht="12.75" x14ac:dyDescent="0.2">
      <c r="F679" s="2"/>
      <c r="I679" s="2"/>
      <c r="J679" s="2"/>
      <c r="M679" s="2"/>
      <c r="N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6:31" ht="12.75" x14ac:dyDescent="0.2">
      <c r="F680" s="2"/>
      <c r="I680" s="2"/>
      <c r="J680" s="2"/>
      <c r="M680" s="2"/>
      <c r="N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6:31" ht="12.75" x14ac:dyDescent="0.2">
      <c r="F681" s="2"/>
      <c r="I681" s="2"/>
      <c r="J681" s="2"/>
      <c r="M681" s="2"/>
      <c r="N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6:31" ht="12.75" x14ac:dyDescent="0.2">
      <c r="F682" s="2"/>
      <c r="I682" s="2"/>
      <c r="J682" s="2"/>
      <c r="M682" s="2"/>
      <c r="N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6:31" ht="12.75" x14ac:dyDescent="0.2">
      <c r="F683" s="2"/>
      <c r="I683" s="2"/>
      <c r="J683" s="2"/>
      <c r="M683" s="2"/>
      <c r="N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6:31" ht="12.75" x14ac:dyDescent="0.2">
      <c r="F684" s="2"/>
      <c r="I684" s="2"/>
      <c r="J684" s="2"/>
      <c r="M684" s="2"/>
      <c r="N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6:31" ht="12.75" x14ac:dyDescent="0.2">
      <c r="F685" s="2"/>
      <c r="I685" s="2"/>
      <c r="J685" s="2"/>
      <c r="M685" s="2"/>
      <c r="N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6:31" ht="12.75" x14ac:dyDescent="0.2">
      <c r="F686" s="2"/>
      <c r="I686" s="2"/>
      <c r="J686" s="2"/>
      <c r="M686" s="2"/>
      <c r="N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6:31" ht="12.75" x14ac:dyDescent="0.2">
      <c r="F687" s="2"/>
      <c r="I687" s="2"/>
      <c r="J687" s="2"/>
      <c r="M687" s="2"/>
      <c r="N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6:31" ht="12.75" x14ac:dyDescent="0.2">
      <c r="F688" s="2"/>
      <c r="I688" s="2"/>
      <c r="J688" s="2"/>
      <c r="M688" s="2"/>
      <c r="N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6:31" ht="12.75" x14ac:dyDescent="0.2">
      <c r="F689" s="2"/>
      <c r="I689" s="2"/>
      <c r="J689" s="2"/>
      <c r="M689" s="2"/>
      <c r="N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6:31" ht="12.75" x14ac:dyDescent="0.2">
      <c r="F690" s="2"/>
      <c r="I690" s="2"/>
      <c r="J690" s="2"/>
      <c r="M690" s="2"/>
      <c r="N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6:31" ht="12.75" x14ac:dyDescent="0.2">
      <c r="F691" s="2"/>
      <c r="I691" s="2"/>
      <c r="J691" s="2"/>
      <c r="M691" s="2"/>
      <c r="N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6:31" ht="12.75" x14ac:dyDescent="0.2">
      <c r="F692" s="2"/>
      <c r="I692" s="2"/>
      <c r="J692" s="2"/>
      <c r="M692" s="2"/>
      <c r="N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6:31" ht="12.75" x14ac:dyDescent="0.2">
      <c r="F693" s="2"/>
      <c r="I693" s="2"/>
      <c r="J693" s="2"/>
      <c r="M693" s="2"/>
      <c r="N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6:31" ht="12.75" x14ac:dyDescent="0.2">
      <c r="F694" s="2"/>
      <c r="I694" s="2"/>
      <c r="J694" s="2"/>
      <c r="M694" s="2"/>
      <c r="N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6:31" ht="12.75" x14ac:dyDescent="0.2">
      <c r="F695" s="2"/>
      <c r="I695" s="2"/>
      <c r="J695" s="2"/>
      <c r="M695" s="2"/>
      <c r="N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6:31" ht="12.75" x14ac:dyDescent="0.2">
      <c r="F696" s="2"/>
      <c r="I696" s="2"/>
      <c r="J696" s="2"/>
      <c r="M696" s="2"/>
      <c r="N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6:31" ht="12.75" x14ac:dyDescent="0.2">
      <c r="F697" s="2"/>
      <c r="I697" s="2"/>
      <c r="J697" s="2"/>
      <c r="M697" s="2"/>
      <c r="N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6:31" ht="12.75" x14ac:dyDescent="0.2">
      <c r="F698" s="2"/>
      <c r="I698" s="2"/>
      <c r="J698" s="2"/>
      <c r="M698" s="2"/>
      <c r="N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6:31" ht="12.75" x14ac:dyDescent="0.2">
      <c r="F699" s="2"/>
      <c r="I699" s="2"/>
      <c r="J699" s="2"/>
      <c r="M699" s="2"/>
      <c r="N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6:31" ht="12.75" x14ac:dyDescent="0.2">
      <c r="F700" s="2"/>
      <c r="I700" s="2"/>
      <c r="J700" s="2"/>
      <c r="M700" s="2"/>
      <c r="N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6:31" ht="12.75" x14ac:dyDescent="0.2">
      <c r="F701" s="2"/>
      <c r="I701" s="2"/>
      <c r="J701" s="2"/>
      <c r="M701" s="2"/>
      <c r="N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6:31" ht="12.75" x14ac:dyDescent="0.2">
      <c r="F702" s="2"/>
      <c r="I702" s="2"/>
      <c r="J702" s="2"/>
      <c r="M702" s="2"/>
      <c r="N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6:31" ht="12.75" x14ac:dyDescent="0.2">
      <c r="F703" s="2"/>
      <c r="I703" s="2"/>
      <c r="J703" s="2"/>
      <c r="M703" s="2"/>
      <c r="N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6:31" ht="12.75" x14ac:dyDescent="0.2">
      <c r="F704" s="2"/>
      <c r="I704" s="2"/>
      <c r="J704" s="2"/>
      <c r="M704" s="2"/>
      <c r="N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6:31" ht="12.75" x14ac:dyDescent="0.2">
      <c r="F705" s="2"/>
      <c r="I705" s="2"/>
      <c r="J705" s="2"/>
      <c r="M705" s="2"/>
      <c r="N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6:31" ht="12.75" x14ac:dyDescent="0.2">
      <c r="F706" s="2"/>
      <c r="I706" s="2"/>
      <c r="J706" s="2"/>
      <c r="M706" s="2"/>
      <c r="N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6:31" ht="12.75" x14ac:dyDescent="0.2">
      <c r="F707" s="2"/>
      <c r="I707" s="2"/>
      <c r="J707" s="2"/>
      <c r="M707" s="2"/>
      <c r="N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6:31" ht="12.75" x14ac:dyDescent="0.2">
      <c r="F708" s="2"/>
      <c r="I708" s="2"/>
      <c r="J708" s="2"/>
      <c r="M708" s="2"/>
      <c r="N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6:31" ht="12.75" x14ac:dyDescent="0.2">
      <c r="F709" s="2"/>
      <c r="I709" s="2"/>
      <c r="J709" s="2"/>
      <c r="M709" s="2"/>
      <c r="N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6:31" ht="12.75" x14ac:dyDescent="0.2">
      <c r="F710" s="2"/>
      <c r="I710" s="2"/>
      <c r="J710" s="2"/>
      <c r="M710" s="2"/>
      <c r="N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6:31" ht="12.75" x14ac:dyDescent="0.2">
      <c r="F711" s="2"/>
      <c r="I711" s="2"/>
      <c r="J711" s="2"/>
      <c r="M711" s="2"/>
      <c r="N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6:31" ht="12.75" x14ac:dyDescent="0.2">
      <c r="F712" s="2"/>
      <c r="I712" s="2"/>
      <c r="J712" s="2"/>
      <c r="M712" s="2"/>
      <c r="N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6:31" ht="12.75" x14ac:dyDescent="0.2">
      <c r="F713" s="2"/>
      <c r="I713" s="2"/>
      <c r="J713" s="2"/>
      <c r="M713" s="2"/>
      <c r="N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6:31" ht="12.75" x14ac:dyDescent="0.2">
      <c r="F714" s="2"/>
      <c r="I714" s="2"/>
      <c r="J714" s="2"/>
      <c r="M714" s="2"/>
      <c r="N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6:31" ht="12.75" x14ac:dyDescent="0.2">
      <c r="F715" s="2"/>
      <c r="I715" s="2"/>
      <c r="J715" s="2"/>
      <c r="M715" s="2"/>
      <c r="N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6:31" ht="12.75" x14ac:dyDescent="0.2">
      <c r="F716" s="2"/>
      <c r="I716" s="2"/>
      <c r="J716" s="2"/>
      <c r="M716" s="2"/>
      <c r="N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6:31" ht="12.75" x14ac:dyDescent="0.2">
      <c r="F717" s="2"/>
      <c r="I717" s="2"/>
      <c r="J717" s="2"/>
      <c r="M717" s="2"/>
      <c r="N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6:31" ht="12.75" x14ac:dyDescent="0.2">
      <c r="F718" s="2"/>
      <c r="I718" s="2"/>
      <c r="J718" s="2"/>
      <c r="M718" s="2"/>
      <c r="N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6:31" ht="12.75" x14ac:dyDescent="0.2">
      <c r="F719" s="2"/>
      <c r="I719" s="2"/>
      <c r="J719" s="2"/>
      <c r="M719" s="2"/>
      <c r="N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6:31" ht="12.75" x14ac:dyDescent="0.2">
      <c r="F720" s="2"/>
      <c r="I720" s="2"/>
      <c r="J720" s="2"/>
      <c r="M720" s="2"/>
      <c r="N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6:31" ht="12.75" x14ac:dyDescent="0.2">
      <c r="F721" s="2"/>
      <c r="I721" s="2"/>
      <c r="J721" s="2"/>
      <c r="M721" s="2"/>
      <c r="N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6:31" ht="12.75" x14ac:dyDescent="0.2">
      <c r="F722" s="2"/>
      <c r="I722" s="2"/>
      <c r="J722" s="2"/>
      <c r="M722" s="2"/>
      <c r="N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6:31" ht="12.75" x14ac:dyDescent="0.2">
      <c r="F723" s="2"/>
      <c r="I723" s="2"/>
      <c r="J723" s="2"/>
      <c r="M723" s="2"/>
      <c r="N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6:31" ht="12.75" x14ac:dyDescent="0.2">
      <c r="F724" s="2"/>
      <c r="I724" s="2"/>
      <c r="J724" s="2"/>
      <c r="M724" s="2"/>
      <c r="N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6:31" ht="12.75" x14ac:dyDescent="0.2">
      <c r="F725" s="2"/>
      <c r="I725" s="2"/>
      <c r="J725" s="2"/>
      <c r="M725" s="2"/>
      <c r="N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6:31" ht="12.75" x14ac:dyDescent="0.2">
      <c r="F726" s="2"/>
      <c r="I726" s="2"/>
      <c r="J726" s="2"/>
      <c r="M726" s="2"/>
      <c r="N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6:31" ht="12.75" x14ac:dyDescent="0.2">
      <c r="F727" s="2"/>
      <c r="I727" s="2"/>
      <c r="J727" s="2"/>
      <c r="M727" s="2"/>
      <c r="N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6:31" ht="12.75" x14ac:dyDescent="0.2">
      <c r="F728" s="2"/>
      <c r="I728" s="2"/>
      <c r="J728" s="2"/>
      <c r="M728" s="2"/>
      <c r="N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6:31" ht="12.75" x14ac:dyDescent="0.2">
      <c r="F729" s="2"/>
      <c r="I729" s="2"/>
      <c r="J729" s="2"/>
      <c r="M729" s="2"/>
      <c r="N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6:31" ht="12.75" x14ac:dyDescent="0.2">
      <c r="F730" s="2"/>
      <c r="I730" s="2"/>
      <c r="J730" s="2"/>
      <c r="M730" s="2"/>
      <c r="N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6:31" ht="12.75" x14ac:dyDescent="0.2">
      <c r="F731" s="2"/>
      <c r="I731" s="2"/>
      <c r="J731" s="2"/>
      <c r="M731" s="2"/>
      <c r="N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6:31" ht="12.75" x14ac:dyDescent="0.2">
      <c r="F732" s="2"/>
      <c r="I732" s="2"/>
      <c r="J732" s="2"/>
      <c r="M732" s="2"/>
      <c r="N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6:31" ht="12.75" x14ac:dyDescent="0.2">
      <c r="F733" s="2"/>
      <c r="I733" s="2"/>
      <c r="J733" s="2"/>
      <c r="M733" s="2"/>
      <c r="N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6:31" ht="12.75" x14ac:dyDescent="0.2">
      <c r="F734" s="2"/>
      <c r="I734" s="2"/>
      <c r="J734" s="2"/>
      <c r="M734" s="2"/>
      <c r="N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6:31" ht="12.75" x14ac:dyDescent="0.2">
      <c r="F735" s="2"/>
      <c r="I735" s="2"/>
      <c r="J735" s="2"/>
      <c r="M735" s="2"/>
      <c r="N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6:31" ht="12.75" x14ac:dyDescent="0.2">
      <c r="F736" s="2"/>
      <c r="I736" s="2"/>
      <c r="J736" s="2"/>
      <c r="M736" s="2"/>
      <c r="N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6:31" ht="12.75" x14ac:dyDescent="0.2">
      <c r="F737" s="2"/>
      <c r="I737" s="2"/>
      <c r="J737" s="2"/>
      <c r="M737" s="2"/>
      <c r="N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6:31" ht="12.75" x14ac:dyDescent="0.2">
      <c r="F738" s="2"/>
      <c r="I738" s="2"/>
      <c r="J738" s="2"/>
      <c r="M738" s="2"/>
      <c r="N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6:31" ht="12.75" x14ac:dyDescent="0.2">
      <c r="F739" s="2"/>
      <c r="I739" s="2"/>
      <c r="J739" s="2"/>
      <c r="M739" s="2"/>
      <c r="N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6:31" ht="12.75" x14ac:dyDescent="0.2">
      <c r="F740" s="2"/>
      <c r="I740" s="2"/>
      <c r="J740" s="2"/>
      <c r="M740" s="2"/>
      <c r="N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6:31" ht="12.75" x14ac:dyDescent="0.2">
      <c r="F741" s="2"/>
      <c r="I741" s="2"/>
      <c r="J741" s="2"/>
      <c r="M741" s="2"/>
      <c r="N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6:31" ht="12.75" x14ac:dyDescent="0.2">
      <c r="F742" s="2"/>
      <c r="I742" s="2"/>
      <c r="J742" s="2"/>
      <c r="M742" s="2"/>
      <c r="N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6:31" ht="12.75" x14ac:dyDescent="0.2">
      <c r="F743" s="2"/>
      <c r="I743" s="2"/>
      <c r="J743" s="2"/>
      <c r="M743" s="2"/>
      <c r="N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6:31" ht="12.75" x14ac:dyDescent="0.2">
      <c r="F744" s="2"/>
      <c r="I744" s="2"/>
      <c r="J744" s="2"/>
      <c r="M744" s="2"/>
      <c r="N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6:31" ht="12.75" x14ac:dyDescent="0.2">
      <c r="F745" s="2"/>
      <c r="I745" s="2"/>
      <c r="J745" s="2"/>
      <c r="M745" s="2"/>
      <c r="N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6:31" ht="12.75" x14ac:dyDescent="0.2">
      <c r="F746" s="2"/>
      <c r="I746" s="2"/>
      <c r="J746" s="2"/>
      <c r="M746" s="2"/>
      <c r="N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6:31" ht="12.75" x14ac:dyDescent="0.2">
      <c r="F747" s="2"/>
      <c r="I747" s="2"/>
      <c r="J747" s="2"/>
      <c r="M747" s="2"/>
      <c r="N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6:31" ht="12.75" x14ac:dyDescent="0.2">
      <c r="F748" s="2"/>
      <c r="I748" s="2"/>
      <c r="J748" s="2"/>
      <c r="M748" s="2"/>
      <c r="N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6:31" ht="12.75" x14ac:dyDescent="0.2">
      <c r="F749" s="2"/>
      <c r="I749" s="2"/>
      <c r="J749" s="2"/>
      <c r="M749" s="2"/>
      <c r="N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6:31" ht="12.75" x14ac:dyDescent="0.2">
      <c r="F750" s="2"/>
      <c r="I750" s="2"/>
      <c r="J750" s="2"/>
      <c r="M750" s="2"/>
      <c r="N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6:31" ht="12.75" x14ac:dyDescent="0.2">
      <c r="F751" s="2"/>
      <c r="I751" s="2"/>
      <c r="J751" s="2"/>
      <c r="M751" s="2"/>
      <c r="N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6:31" ht="12.75" x14ac:dyDescent="0.2">
      <c r="F752" s="2"/>
      <c r="I752" s="2"/>
      <c r="J752" s="2"/>
      <c r="M752" s="2"/>
      <c r="N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6:31" ht="12.75" x14ac:dyDescent="0.2">
      <c r="F753" s="2"/>
      <c r="I753" s="2"/>
      <c r="J753" s="2"/>
      <c r="M753" s="2"/>
      <c r="N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6:31" ht="12.75" x14ac:dyDescent="0.2">
      <c r="F754" s="2"/>
      <c r="I754" s="2"/>
      <c r="J754" s="2"/>
      <c r="M754" s="2"/>
      <c r="N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6:31" ht="12.75" x14ac:dyDescent="0.2">
      <c r="F755" s="2"/>
      <c r="I755" s="2"/>
      <c r="J755" s="2"/>
      <c r="M755" s="2"/>
      <c r="N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6:31" ht="12.75" x14ac:dyDescent="0.2">
      <c r="F756" s="2"/>
      <c r="I756" s="2"/>
      <c r="J756" s="2"/>
      <c r="M756" s="2"/>
      <c r="N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6:31" ht="12.75" x14ac:dyDescent="0.2">
      <c r="F757" s="2"/>
      <c r="I757" s="2"/>
      <c r="J757" s="2"/>
      <c r="M757" s="2"/>
      <c r="N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6:31" ht="12.75" x14ac:dyDescent="0.2">
      <c r="F758" s="2"/>
      <c r="I758" s="2"/>
      <c r="J758" s="2"/>
      <c r="M758" s="2"/>
      <c r="N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6:31" ht="12.75" x14ac:dyDescent="0.2">
      <c r="F759" s="2"/>
      <c r="I759" s="2"/>
      <c r="J759" s="2"/>
      <c r="M759" s="2"/>
      <c r="N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6:31" ht="12.75" x14ac:dyDescent="0.2">
      <c r="F760" s="2"/>
      <c r="I760" s="2"/>
      <c r="J760" s="2"/>
      <c r="M760" s="2"/>
      <c r="N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6:31" ht="12.75" x14ac:dyDescent="0.2">
      <c r="F761" s="2"/>
      <c r="I761" s="2"/>
      <c r="J761" s="2"/>
      <c r="M761" s="2"/>
      <c r="N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6:31" ht="12.75" x14ac:dyDescent="0.2">
      <c r="F762" s="2"/>
      <c r="I762" s="2"/>
      <c r="J762" s="2"/>
      <c r="M762" s="2"/>
      <c r="N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6:31" ht="12.75" x14ac:dyDescent="0.2">
      <c r="F763" s="2"/>
      <c r="I763" s="2"/>
      <c r="J763" s="2"/>
      <c r="M763" s="2"/>
      <c r="N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6:31" ht="12.75" x14ac:dyDescent="0.2">
      <c r="F764" s="2"/>
      <c r="I764" s="2"/>
      <c r="J764" s="2"/>
      <c r="M764" s="2"/>
      <c r="N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6:31" ht="12.75" x14ac:dyDescent="0.2">
      <c r="F765" s="2"/>
      <c r="I765" s="2"/>
      <c r="J765" s="2"/>
      <c r="M765" s="2"/>
      <c r="N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6:31" ht="12.75" x14ac:dyDescent="0.2">
      <c r="F766" s="2"/>
      <c r="I766" s="2"/>
      <c r="J766" s="2"/>
      <c r="M766" s="2"/>
      <c r="N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6:31" ht="12.75" x14ac:dyDescent="0.2">
      <c r="F767" s="2"/>
      <c r="I767" s="2"/>
      <c r="J767" s="2"/>
      <c r="M767" s="2"/>
      <c r="N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6:31" ht="12.75" x14ac:dyDescent="0.2">
      <c r="F768" s="2"/>
      <c r="I768" s="2"/>
      <c r="J768" s="2"/>
      <c r="M768" s="2"/>
      <c r="N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6:31" ht="12.75" x14ac:dyDescent="0.2">
      <c r="F769" s="2"/>
      <c r="I769" s="2"/>
      <c r="J769" s="2"/>
      <c r="M769" s="2"/>
      <c r="N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6:31" ht="12.75" x14ac:dyDescent="0.2">
      <c r="F770" s="2"/>
      <c r="I770" s="2"/>
      <c r="J770" s="2"/>
      <c r="M770" s="2"/>
      <c r="N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6:31" ht="12.75" x14ac:dyDescent="0.2">
      <c r="F771" s="2"/>
      <c r="I771" s="2"/>
      <c r="J771" s="2"/>
      <c r="M771" s="2"/>
      <c r="N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6:31" ht="12.75" x14ac:dyDescent="0.2">
      <c r="F772" s="2"/>
      <c r="I772" s="2"/>
      <c r="J772" s="2"/>
      <c r="M772" s="2"/>
      <c r="N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6:31" ht="12.75" x14ac:dyDescent="0.2">
      <c r="F773" s="2"/>
      <c r="I773" s="2"/>
      <c r="J773" s="2"/>
      <c r="M773" s="2"/>
      <c r="N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6:31" ht="12.75" x14ac:dyDescent="0.2">
      <c r="F774" s="2"/>
      <c r="I774" s="2"/>
      <c r="J774" s="2"/>
      <c r="M774" s="2"/>
      <c r="N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6:31" ht="12.75" x14ac:dyDescent="0.2">
      <c r="F775" s="2"/>
      <c r="I775" s="2"/>
      <c r="J775" s="2"/>
      <c r="M775" s="2"/>
      <c r="N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6:31" ht="12.75" x14ac:dyDescent="0.2">
      <c r="F776" s="2"/>
      <c r="I776" s="2"/>
      <c r="J776" s="2"/>
      <c r="M776" s="2"/>
      <c r="N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6:31" ht="12.75" x14ac:dyDescent="0.2">
      <c r="F777" s="2"/>
      <c r="I777" s="2"/>
      <c r="J777" s="2"/>
      <c r="M777" s="2"/>
      <c r="N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6:31" ht="12.75" x14ac:dyDescent="0.2">
      <c r="F778" s="2"/>
      <c r="I778" s="2"/>
      <c r="J778" s="2"/>
      <c r="M778" s="2"/>
      <c r="N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6:31" ht="12.75" x14ac:dyDescent="0.2">
      <c r="F779" s="2"/>
      <c r="I779" s="2"/>
      <c r="J779" s="2"/>
      <c r="M779" s="2"/>
      <c r="N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6:31" ht="12.75" x14ac:dyDescent="0.2">
      <c r="F780" s="2"/>
      <c r="I780" s="2"/>
      <c r="J780" s="2"/>
      <c r="M780" s="2"/>
      <c r="N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6:31" ht="12.75" x14ac:dyDescent="0.2">
      <c r="F781" s="2"/>
      <c r="I781" s="2"/>
      <c r="J781" s="2"/>
      <c r="M781" s="2"/>
      <c r="N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6:31" ht="12.75" x14ac:dyDescent="0.2">
      <c r="F782" s="2"/>
      <c r="I782" s="2"/>
      <c r="J782" s="2"/>
      <c r="M782" s="2"/>
      <c r="N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6:31" ht="12.75" x14ac:dyDescent="0.2">
      <c r="F783" s="2"/>
      <c r="I783" s="2"/>
      <c r="J783" s="2"/>
      <c r="M783" s="2"/>
      <c r="N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6:31" ht="12.75" x14ac:dyDescent="0.2">
      <c r="F784" s="2"/>
      <c r="I784" s="2"/>
      <c r="J784" s="2"/>
      <c r="M784" s="2"/>
      <c r="N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6:31" ht="12.75" x14ac:dyDescent="0.2">
      <c r="F785" s="2"/>
      <c r="I785" s="2"/>
      <c r="J785" s="2"/>
      <c r="M785" s="2"/>
      <c r="N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6:31" ht="12.75" x14ac:dyDescent="0.2">
      <c r="F786" s="2"/>
      <c r="I786" s="2"/>
      <c r="J786" s="2"/>
      <c r="M786" s="2"/>
      <c r="N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6:31" ht="12.75" x14ac:dyDescent="0.2">
      <c r="F787" s="2"/>
      <c r="I787" s="2"/>
      <c r="J787" s="2"/>
      <c r="M787" s="2"/>
      <c r="N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6:31" ht="12.75" x14ac:dyDescent="0.2">
      <c r="F788" s="2"/>
      <c r="I788" s="2"/>
      <c r="J788" s="2"/>
      <c r="M788" s="2"/>
      <c r="N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6:31" ht="12.75" x14ac:dyDescent="0.2">
      <c r="F789" s="2"/>
      <c r="I789" s="2"/>
      <c r="J789" s="2"/>
      <c r="M789" s="2"/>
      <c r="N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6:31" ht="12.75" x14ac:dyDescent="0.2">
      <c r="F790" s="2"/>
      <c r="I790" s="2"/>
      <c r="J790" s="2"/>
      <c r="M790" s="2"/>
      <c r="N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6:31" ht="12.75" x14ac:dyDescent="0.2">
      <c r="F791" s="2"/>
      <c r="I791" s="2"/>
      <c r="J791" s="2"/>
      <c r="M791" s="2"/>
      <c r="N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6:31" ht="12.75" x14ac:dyDescent="0.2">
      <c r="F792" s="2"/>
      <c r="I792" s="2"/>
      <c r="J792" s="2"/>
      <c r="M792" s="2"/>
      <c r="N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6:31" ht="12.75" x14ac:dyDescent="0.2">
      <c r="F793" s="2"/>
      <c r="I793" s="2"/>
      <c r="J793" s="2"/>
      <c r="M793" s="2"/>
      <c r="N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6:31" ht="12.75" x14ac:dyDescent="0.2">
      <c r="F794" s="2"/>
      <c r="I794" s="2"/>
      <c r="J794" s="2"/>
      <c r="M794" s="2"/>
      <c r="N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6:31" ht="12.75" x14ac:dyDescent="0.2">
      <c r="F795" s="2"/>
      <c r="I795" s="2"/>
      <c r="J795" s="2"/>
      <c r="M795" s="2"/>
      <c r="N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6:31" ht="12.75" x14ac:dyDescent="0.2">
      <c r="F796" s="2"/>
      <c r="I796" s="2"/>
      <c r="J796" s="2"/>
      <c r="M796" s="2"/>
      <c r="N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6:31" ht="12.75" x14ac:dyDescent="0.2">
      <c r="F797" s="2"/>
      <c r="I797" s="2"/>
      <c r="J797" s="2"/>
      <c r="M797" s="2"/>
      <c r="N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6:31" ht="12.75" x14ac:dyDescent="0.2">
      <c r="F798" s="2"/>
      <c r="I798" s="2"/>
      <c r="J798" s="2"/>
      <c r="M798" s="2"/>
      <c r="N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6:31" ht="12.75" x14ac:dyDescent="0.2">
      <c r="F799" s="2"/>
      <c r="I799" s="2"/>
      <c r="J799" s="2"/>
      <c r="M799" s="2"/>
      <c r="N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6:31" ht="12.75" x14ac:dyDescent="0.2">
      <c r="F800" s="2"/>
      <c r="I800" s="2"/>
      <c r="J800" s="2"/>
      <c r="M800" s="2"/>
      <c r="N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6:31" ht="12.75" x14ac:dyDescent="0.2">
      <c r="F801" s="2"/>
      <c r="I801" s="2"/>
      <c r="J801" s="2"/>
      <c r="M801" s="2"/>
      <c r="N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6:31" ht="12.75" x14ac:dyDescent="0.2">
      <c r="F802" s="2"/>
      <c r="I802" s="2"/>
      <c r="J802" s="2"/>
      <c r="M802" s="2"/>
      <c r="N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6:31" ht="12.75" x14ac:dyDescent="0.2">
      <c r="F803" s="2"/>
      <c r="I803" s="2"/>
      <c r="J803" s="2"/>
      <c r="M803" s="2"/>
      <c r="N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6:31" ht="12.75" x14ac:dyDescent="0.2">
      <c r="F804" s="2"/>
      <c r="I804" s="2"/>
      <c r="J804" s="2"/>
      <c r="M804" s="2"/>
      <c r="N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6:31" ht="12.75" x14ac:dyDescent="0.2">
      <c r="F805" s="2"/>
      <c r="I805" s="2"/>
      <c r="J805" s="2"/>
      <c r="M805" s="2"/>
      <c r="N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6:31" ht="12.75" x14ac:dyDescent="0.2">
      <c r="F806" s="2"/>
      <c r="I806" s="2"/>
      <c r="J806" s="2"/>
      <c r="M806" s="2"/>
      <c r="N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6:31" ht="12.75" x14ac:dyDescent="0.2">
      <c r="F807" s="2"/>
      <c r="I807" s="2"/>
      <c r="J807" s="2"/>
      <c r="M807" s="2"/>
      <c r="N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6:31" ht="12.75" x14ac:dyDescent="0.2">
      <c r="F808" s="2"/>
      <c r="I808" s="2"/>
      <c r="J808" s="2"/>
      <c r="M808" s="2"/>
      <c r="N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6:31" ht="12.75" x14ac:dyDescent="0.2">
      <c r="F809" s="2"/>
      <c r="I809" s="2"/>
      <c r="J809" s="2"/>
      <c r="M809" s="2"/>
      <c r="N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6:31" ht="12.75" x14ac:dyDescent="0.2">
      <c r="F810" s="2"/>
      <c r="I810" s="2"/>
      <c r="J810" s="2"/>
      <c r="M810" s="2"/>
      <c r="N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6:31" ht="12.75" x14ac:dyDescent="0.2">
      <c r="F811" s="2"/>
      <c r="I811" s="2"/>
      <c r="J811" s="2"/>
      <c r="M811" s="2"/>
      <c r="N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6:31" ht="12.75" x14ac:dyDescent="0.2">
      <c r="F812" s="2"/>
      <c r="I812" s="2"/>
      <c r="J812" s="2"/>
      <c r="M812" s="2"/>
      <c r="N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6:31" ht="12.75" x14ac:dyDescent="0.2">
      <c r="F813" s="2"/>
      <c r="I813" s="2"/>
      <c r="J813" s="2"/>
      <c r="M813" s="2"/>
      <c r="N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6:31" ht="12.75" x14ac:dyDescent="0.2">
      <c r="F814" s="2"/>
      <c r="I814" s="2"/>
      <c r="J814" s="2"/>
      <c r="M814" s="2"/>
      <c r="N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6:31" ht="12.75" x14ac:dyDescent="0.2">
      <c r="F815" s="2"/>
      <c r="I815" s="2"/>
      <c r="J815" s="2"/>
      <c r="M815" s="2"/>
      <c r="N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6:31" ht="12.75" x14ac:dyDescent="0.2">
      <c r="F816" s="2"/>
      <c r="I816" s="2"/>
      <c r="J816" s="2"/>
      <c r="M816" s="2"/>
      <c r="N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6:31" ht="12.75" x14ac:dyDescent="0.2">
      <c r="F817" s="2"/>
      <c r="I817" s="2"/>
      <c r="J817" s="2"/>
      <c r="M817" s="2"/>
      <c r="N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6:31" ht="12.75" x14ac:dyDescent="0.2">
      <c r="F818" s="2"/>
      <c r="I818" s="2"/>
      <c r="J818" s="2"/>
      <c r="M818" s="2"/>
      <c r="N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6:31" ht="12.75" x14ac:dyDescent="0.2">
      <c r="F819" s="2"/>
      <c r="I819" s="2"/>
      <c r="J819" s="2"/>
      <c r="M819" s="2"/>
      <c r="N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6:31" ht="12.75" x14ac:dyDescent="0.2">
      <c r="F820" s="2"/>
      <c r="I820" s="2"/>
      <c r="J820" s="2"/>
      <c r="M820" s="2"/>
      <c r="N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6:31" ht="12.75" x14ac:dyDescent="0.2">
      <c r="F821" s="2"/>
      <c r="I821" s="2"/>
      <c r="J821" s="2"/>
      <c r="M821" s="2"/>
      <c r="N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6:31" ht="12.75" x14ac:dyDescent="0.2">
      <c r="F822" s="2"/>
      <c r="I822" s="2"/>
      <c r="J822" s="2"/>
      <c r="M822" s="2"/>
      <c r="N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6:31" ht="12.75" x14ac:dyDescent="0.2">
      <c r="F823" s="2"/>
      <c r="I823" s="2"/>
      <c r="J823" s="2"/>
      <c r="M823" s="2"/>
      <c r="N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6:31" ht="12.75" x14ac:dyDescent="0.2">
      <c r="F824" s="2"/>
      <c r="I824" s="2"/>
      <c r="J824" s="2"/>
      <c r="M824" s="2"/>
      <c r="N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6:31" ht="12.75" x14ac:dyDescent="0.2">
      <c r="F825" s="2"/>
      <c r="I825" s="2"/>
      <c r="J825" s="2"/>
      <c r="M825" s="2"/>
      <c r="N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6:31" ht="12.75" x14ac:dyDescent="0.2">
      <c r="F826" s="2"/>
      <c r="I826" s="2"/>
      <c r="J826" s="2"/>
      <c r="M826" s="2"/>
      <c r="N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6:31" ht="12.75" x14ac:dyDescent="0.2">
      <c r="F827" s="2"/>
      <c r="I827" s="2"/>
      <c r="J827" s="2"/>
      <c r="M827" s="2"/>
      <c r="N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6:31" ht="12.75" x14ac:dyDescent="0.2">
      <c r="F828" s="2"/>
      <c r="I828" s="2"/>
      <c r="J828" s="2"/>
      <c r="M828" s="2"/>
      <c r="N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6:31" ht="12.75" x14ac:dyDescent="0.2">
      <c r="F829" s="2"/>
      <c r="I829" s="2"/>
      <c r="J829" s="2"/>
      <c r="M829" s="2"/>
      <c r="N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6:31" ht="12.75" x14ac:dyDescent="0.2">
      <c r="F830" s="2"/>
      <c r="I830" s="2"/>
      <c r="J830" s="2"/>
      <c r="M830" s="2"/>
      <c r="N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6:31" ht="12.75" x14ac:dyDescent="0.2">
      <c r="F831" s="2"/>
      <c r="I831" s="2"/>
      <c r="J831" s="2"/>
      <c r="M831" s="2"/>
      <c r="N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6:31" ht="12.75" x14ac:dyDescent="0.2">
      <c r="F832" s="2"/>
      <c r="I832" s="2"/>
      <c r="J832" s="2"/>
      <c r="M832" s="2"/>
      <c r="N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6:31" ht="12.75" x14ac:dyDescent="0.2">
      <c r="F833" s="2"/>
      <c r="I833" s="2"/>
      <c r="J833" s="2"/>
      <c r="M833" s="2"/>
      <c r="N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6:31" ht="12.75" x14ac:dyDescent="0.2">
      <c r="F834" s="2"/>
      <c r="I834" s="2"/>
      <c r="J834" s="2"/>
      <c r="M834" s="2"/>
      <c r="N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6:31" ht="12.75" x14ac:dyDescent="0.2">
      <c r="F835" s="2"/>
      <c r="I835" s="2"/>
      <c r="J835" s="2"/>
      <c r="M835" s="2"/>
      <c r="N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6:31" ht="12.75" x14ac:dyDescent="0.2">
      <c r="F836" s="2"/>
      <c r="I836" s="2"/>
      <c r="J836" s="2"/>
      <c r="M836" s="2"/>
      <c r="N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6:31" ht="12.75" x14ac:dyDescent="0.2">
      <c r="F837" s="2"/>
      <c r="I837" s="2"/>
      <c r="J837" s="2"/>
      <c r="M837" s="2"/>
      <c r="N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6:31" ht="12.75" x14ac:dyDescent="0.2">
      <c r="F838" s="2"/>
      <c r="I838" s="2"/>
      <c r="J838" s="2"/>
      <c r="M838" s="2"/>
      <c r="N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6:31" ht="12.75" x14ac:dyDescent="0.2">
      <c r="F839" s="2"/>
      <c r="I839" s="2"/>
      <c r="J839" s="2"/>
      <c r="M839" s="2"/>
      <c r="N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6:31" ht="12.75" x14ac:dyDescent="0.2">
      <c r="F840" s="2"/>
      <c r="I840" s="2"/>
      <c r="J840" s="2"/>
      <c r="M840" s="2"/>
      <c r="N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6:31" ht="12.75" x14ac:dyDescent="0.2">
      <c r="F841" s="2"/>
      <c r="I841" s="2"/>
      <c r="J841" s="2"/>
      <c r="M841" s="2"/>
      <c r="N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6:31" ht="12.75" x14ac:dyDescent="0.2">
      <c r="F842" s="2"/>
      <c r="I842" s="2"/>
      <c r="J842" s="2"/>
      <c r="M842" s="2"/>
      <c r="N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6:31" ht="12.75" x14ac:dyDescent="0.2">
      <c r="F843" s="2"/>
      <c r="I843" s="2"/>
      <c r="J843" s="2"/>
      <c r="M843" s="2"/>
      <c r="N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6:31" ht="12.75" x14ac:dyDescent="0.2">
      <c r="F844" s="2"/>
      <c r="I844" s="2"/>
      <c r="J844" s="2"/>
      <c r="M844" s="2"/>
      <c r="N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6:31" ht="12.75" x14ac:dyDescent="0.2">
      <c r="F845" s="2"/>
      <c r="I845" s="2"/>
      <c r="J845" s="2"/>
      <c r="M845" s="2"/>
      <c r="N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6:31" ht="12.75" x14ac:dyDescent="0.2">
      <c r="F846" s="2"/>
      <c r="I846" s="2"/>
      <c r="J846" s="2"/>
      <c r="M846" s="2"/>
      <c r="N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6:31" ht="12.75" x14ac:dyDescent="0.2">
      <c r="F847" s="2"/>
      <c r="I847" s="2"/>
      <c r="J847" s="2"/>
      <c r="M847" s="2"/>
      <c r="N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6:31" ht="12.75" x14ac:dyDescent="0.2">
      <c r="F848" s="2"/>
      <c r="I848" s="2"/>
      <c r="J848" s="2"/>
      <c r="M848" s="2"/>
      <c r="N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6:31" ht="12.75" x14ac:dyDescent="0.2">
      <c r="F849" s="2"/>
      <c r="I849" s="2"/>
      <c r="J849" s="2"/>
      <c r="M849" s="2"/>
      <c r="N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6:31" ht="12.75" x14ac:dyDescent="0.2">
      <c r="F850" s="2"/>
      <c r="I850" s="2"/>
      <c r="J850" s="2"/>
      <c r="M850" s="2"/>
      <c r="N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6:31" ht="12.75" x14ac:dyDescent="0.2">
      <c r="F851" s="2"/>
      <c r="I851" s="2"/>
      <c r="J851" s="2"/>
      <c r="M851" s="2"/>
      <c r="N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6:31" ht="12.75" x14ac:dyDescent="0.2">
      <c r="F852" s="2"/>
      <c r="I852" s="2"/>
      <c r="J852" s="2"/>
      <c r="M852" s="2"/>
      <c r="N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6:31" ht="12.75" x14ac:dyDescent="0.2">
      <c r="F853" s="2"/>
      <c r="I853" s="2"/>
      <c r="J853" s="2"/>
      <c r="M853" s="2"/>
      <c r="N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6:31" ht="12.75" x14ac:dyDescent="0.2">
      <c r="F854" s="2"/>
      <c r="I854" s="2"/>
      <c r="J854" s="2"/>
      <c r="M854" s="2"/>
      <c r="N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6:31" ht="12.75" x14ac:dyDescent="0.2">
      <c r="F855" s="2"/>
      <c r="I855" s="2"/>
      <c r="J855" s="2"/>
      <c r="M855" s="2"/>
      <c r="N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6:31" ht="12.75" x14ac:dyDescent="0.2">
      <c r="F856" s="2"/>
      <c r="I856" s="2"/>
      <c r="J856" s="2"/>
      <c r="M856" s="2"/>
      <c r="N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6:31" ht="12.75" x14ac:dyDescent="0.2">
      <c r="F857" s="2"/>
      <c r="I857" s="2"/>
      <c r="J857" s="2"/>
      <c r="M857" s="2"/>
      <c r="N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6:31" ht="12.75" x14ac:dyDescent="0.2">
      <c r="F858" s="2"/>
      <c r="I858" s="2"/>
      <c r="J858" s="2"/>
      <c r="M858" s="2"/>
      <c r="N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6:31" ht="12.75" x14ac:dyDescent="0.2">
      <c r="F859" s="2"/>
      <c r="I859" s="2"/>
      <c r="J859" s="2"/>
      <c r="M859" s="2"/>
      <c r="N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6:31" ht="12.75" x14ac:dyDescent="0.2">
      <c r="F860" s="2"/>
      <c r="I860" s="2"/>
      <c r="J860" s="2"/>
      <c r="M860" s="2"/>
      <c r="N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6:31" ht="12.75" x14ac:dyDescent="0.2">
      <c r="F861" s="2"/>
      <c r="I861" s="2"/>
      <c r="J861" s="2"/>
      <c r="M861" s="2"/>
      <c r="N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6:31" ht="12.75" x14ac:dyDescent="0.2">
      <c r="F862" s="2"/>
      <c r="I862" s="2"/>
      <c r="J862" s="2"/>
      <c r="M862" s="2"/>
      <c r="N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6:31" ht="12.75" x14ac:dyDescent="0.2">
      <c r="F863" s="2"/>
      <c r="I863" s="2"/>
      <c r="J863" s="2"/>
      <c r="M863" s="2"/>
      <c r="N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6:31" ht="12.75" x14ac:dyDescent="0.2">
      <c r="F864" s="2"/>
      <c r="I864" s="2"/>
      <c r="J864" s="2"/>
      <c r="M864" s="2"/>
      <c r="N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6:31" ht="12.75" x14ac:dyDescent="0.2">
      <c r="F865" s="2"/>
      <c r="I865" s="2"/>
      <c r="J865" s="2"/>
      <c r="M865" s="2"/>
      <c r="N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6:31" ht="12.75" x14ac:dyDescent="0.2">
      <c r="F866" s="2"/>
      <c r="I866" s="2"/>
      <c r="J866" s="2"/>
      <c r="M866" s="2"/>
      <c r="N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6:31" ht="12.75" x14ac:dyDescent="0.2">
      <c r="F867" s="2"/>
      <c r="I867" s="2"/>
      <c r="J867" s="2"/>
      <c r="M867" s="2"/>
      <c r="N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6:31" ht="12.75" x14ac:dyDescent="0.2">
      <c r="F868" s="2"/>
      <c r="I868" s="2"/>
      <c r="J868" s="2"/>
      <c r="M868" s="2"/>
      <c r="N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6:31" ht="12.75" x14ac:dyDescent="0.2">
      <c r="F869" s="2"/>
      <c r="I869" s="2"/>
      <c r="J869" s="2"/>
      <c r="M869" s="2"/>
      <c r="N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6:31" ht="12.75" x14ac:dyDescent="0.2">
      <c r="F870" s="2"/>
      <c r="I870" s="2"/>
      <c r="J870" s="2"/>
      <c r="M870" s="2"/>
      <c r="N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6:31" ht="12.75" x14ac:dyDescent="0.2">
      <c r="F871" s="2"/>
      <c r="I871" s="2"/>
      <c r="J871" s="2"/>
      <c r="M871" s="2"/>
      <c r="N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6:31" ht="12.75" x14ac:dyDescent="0.2">
      <c r="F872" s="2"/>
      <c r="I872" s="2"/>
      <c r="J872" s="2"/>
      <c r="M872" s="2"/>
      <c r="N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6:31" ht="12.75" x14ac:dyDescent="0.2">
      <c r="F873" s="2"/>
      <c r="I873" s="2"/>
      <c r="J873" s="2"/>
      <c r="M873" s="2"/>
      <c r="N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6:31" ht="12.75" x14ac:dyDescent="0.2">
      <c r="F874" s="2"/>
      <c r="I874" s="2"/>
      <c r="J874" s="2"/>
      <c r="M874" s="2"/>
      <c r="N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6:31" ht="12.75" x14ac:dyDescent="0.2">
      <c r="F875" s="2"/>
      <c r="I875" s="2"/>
      <c r="J875" s="2"/>
      <c r="M875" s="2"/>
      <c r="N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6:31" ht="12.75" x14ac:dyDescent="0.2">
      <c r="F876" s="2"/>
      <c r="I876" s="2"/>
      <c r="J876" s="2"/>
      <c r="M876" s="2"/>
      <c r="N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6:31" ht="12.75" x14ac:dyDescent="0.2">
      <c r="F877" s="2"/>
      <c r="I877" s="2"/>
      <c r="J877" s="2"/>
      <c r="M877" s="2"/>
      <c r="N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6:31" ht="12.75" x14ac:dyDescent="0.2">
      <c r="F878" s="2"/>
      <c r="I878" s="2"/>
      <c r="J878" s="2"/>
      <c r="M878" s="2"/>
      <c r="N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6:31" ht="12.75" x14ac:dyDescent="0.2">
      <c r="F879" s="2"/>
      <c r="I879" s="2"/>
      <c r="J879" s="2"/>
      <c r="M879" s="2"/>
      <c r="N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6:31" ht="12.75" x14ac:dyDescent="0.2">
      <c r="F880" s="2"/>
      <c r="I880" s="2"/>
      <c r="J880" s="2"/>
      <c r="M880" s="2"/>
      <c r="N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6:31" ht="12.75" x14ac:dyDescent="0.2">
      <c r="F881" s="2"/>
      <c r="I881" s="2"/>
      <c r="J881" s="2"/>
      <c r="M881" s="2"/>
      <c r="N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6:31" ht="12.75" x14ac:dyDescent="0.2">
      <c r="F882" s="2"/>
      <c r="I882" s="2"/>
      <c r="J882" s="2"/>
      <c r="M882" s="2"/>
      <c r="N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6:31" ht="12.75" x14ac:dyDescent="0.2">
      <c r="F883" s="2"/>
      <c r="I883" s="2"/>
      <c r="J883" s="2"/>
      <c r="M883" s="2"/>
      <c r="N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6:31" ht="12.75" x14ac:dyDescent="0.2">
      <c r="F884" s="2"/>
      <c r="I884" s="2"/>
      <c r="J884" s="2"/>
      <c r="M884" s="2"/>
      <c r="N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6:31" ht="12.75" x14ac:dyDescent="0.2">
      <c r="F885" s="2"/>
      <c r="I885" s="2"/>
      <c r="J885" s="2"/>
      <c r="M885" s="2"/>
      <c r="N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6:31" ht="12.75" x14ac:dyDescent="0.2">
      <c r="F886" s="2"/>
      <c r="I886" s="2"/>
      <c r="J886" s="2"/>
      <c r="M886" s="2"/>
      <c r="N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6:31" ht="12.75" x14ac:dyDescent="0.2">
      <c r="F887" s="2"/>
      <c r="I887" s="2"/>
      <c r="J887" s="2"/>
      <c r="M887" s="2"/>
      <c r="N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6:31" ht="12.75" x14ac:dyDescent="0.2">
      <c r="F888" s="2"/>
      <c r="I888" s="2"/>
      <c r="J888" s="2"/>
      <c r="M888" s="2"/>
      <c r="N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6:31" ht="12.75" x14ac:dyDescent="0.2">
      <c r="F889" s="2"/>
      <c r="I889" s="2"/>
      <c r="J889" s="2"/>
      <c r="M889" s="2"/>
      <c r="N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6:31" ht="12.75" x14ac:dyDescent="0.2">
      <c r="F890" s="2"/>
      <c r="I890" s="2"/>
      <c r="J890" s="2"/>
      <c r="M890" s="2"/>
      <c r="N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6:31" ht="12.75" x14ac:dyDescent="0.2">
      <c r="F891" s="2"/>
      <c r="I891" s="2"/>
      <c r="J891" s="2"/>
      <c r="M891" s="2"/>
      <c r="N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6:31" ht="12.75" x14ac:dyDescent="0.2">
      <c r="F892" s="2"/>
      <c r="I892" s="2"/>
      <c r="J892" s="2"/>
      <c r="M892" s="2"/>
      <c r="N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6:31" ht="12.75" x14ac:dyDescent="0.2">
      <c r="F893" s="2"/>
      <c r="I893" s="2"/>
      <c r="J893" s="2"/>
      <c r="M893" s="2"/>
      <c r="N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6:31" ht="12.75" x14ac:dyDescent="0.2">
      <c r="F894" s="2"/>
      <c r="I894" s="2"/>
      <c r="J894" s="2"/>
      <c r="M894" s="2"/>
      <c r="N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6:31" ht="12.75" x14ac:dyDescent="0.2">
      <c r="F895" s="2"/>
      <c r="I895" s="2"/>
      <c r="J895" s="2"/>
      <c r="M895" s="2"/>
      <c r="N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6:31" ht="12.75" x14ac:dyDescent="0.2">
      <c r="F896" s="2"/>
      <c r="I896" s="2"/>
      <c r="J896" s="2"/>
      <c r="M896" s="2"/>
      <c r="N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6:31" ht="12.75" x14ac:dyDescent="0.2">
      <c r="F897" s="2"/>
      <c r="I897" s="2"/>
      <c r="J897" s="2"/>
      <c r="M897" s="2"/>
      <c r="N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6:31" ht="12.75" x14ac:dyDescent="0.2">
      <c r="F898" s="2"/>
      <c r="I898" s="2"/>
      <c r="J898" s="2"/>
      <c r="M898" s="2"/>
      <c r="N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6:31" ht="12.75" x14ac:dyDescent="0.2">
      <c r="F899" s="2"/>
      <c r="I899" s="2"/>
      <c r="J899" s="2"/>
      <c r="M899" s="2"/>
      <c r="N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6:31" ht="12.75" x14ac:dyDescent="0.2">
      <c r="F900" s="2"/>
      <c r="I900" s="2"/>
      <c r="J900" s="2"/>
      <c r="M900" s="2"/>
      <c r="N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6:31" ht="12.75" x14ac:dyDescent="0.2">
      <c r="F901" s="2"/>
      <c r="I901" s="2"/>
      <c r="J901" s="2"/>
      <c r="M901" s="2"/>
      <c r="N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6:31" ht="12.75" x14ac:dyDescent="0.2">
      <c r="F902" s="2"/>
      <c r="I902" s="2"/>
      <c r="J902" s="2"/>
      <c r="M902" s="2"/>
      <c r="N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6:31" ht="12.75" x14ac:dyDescent="0.2">
      <c r="F903" s="2"/>
      <c r="I903" s="2"/>
      <c r="J903" s="2"/>
      <c r="M903" s="2"/>
      <c r="N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6:31" ht="12.75" x14ac:dyDescent="0.2">
      <c r="F904" s="2"/>
      <c r="I904" s="2"/>
      <c r="J904" s="2"/>
      <c r="M904" s="2"/>
      <c r="N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6:31" ht="12.75" x14ac:dyDescent="0.2">
      <c r="F905" s="2"/>
      <c r="I905" s="2"/>
      <c r="J905" s="2"/>
      <c r="M905" s="2"/>
      <c r="N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6:31" ht="12.75" x14ac:dyDescent="0.2">
      <c r="F906" s="2"/>
      <c r="I906" s="2"/>
      <c r="J906" s="2"/>
      <c r="M906" s="2"/>
      <c r="N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6:31" ht="12.75" x14ac:dyDescent="0.2">
      <c r="F907" s="2"/>
      <c r="I907" s="2"/>
      <c r="J907" s="2"/>
      <c r="M907" s="2"/>
      <c r="N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6:31" ht="12.75" x14ac:dyDescent="0.2">
      <c r="F908" s="2"/>
      <c r="I908" s="2"/>
      <c r="J908" s="2"/>
      <c r="M908" s="2"/>
      <c r="N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6:31" ht="12.75" x14ac:dyDescent="0.2">
      <c r="F909" s="2"/>
      <c r="I909" s="2"/>
      <c r="J909" s="2"/>
      <c r="M909" s="2"/>
      <c r="N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6:31" ht="12.75" x14ac:dyDescent="0.2">
      <c r="F910" s="2"/>
      <c r="I910" s="2"/>
      <c r="J910" s="2"/>
      <c r="M910" s="2"/>
      <c r="N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6:31" ht="12.75" x14ac:dyDescent="0.2">
      <c r="F911" s="2"/>
      <c r="I911" s="2"/>
      <c r="J911" s="2"/>
      <c r="M911" s="2"/>
      <c r="N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6:31" ht="12.75" x14ac:dyDescent="0.2">
      <c r="F912" s="2"/>
      <c r="I912" s="2"/>
      <c r="J912" s="2"/>
      <c r="M912" s="2"/>
      <c r="N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6:31" ht="12.75" x14ac:dyDescent="0.2">
      <c r="F913" s="2"/>
      <c r="I913" s="2"/>
      <c r="J913" s="2"/>
      <c r="M913" s="2"/>
      <c r="N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6:31" ht="12.75" x14ac:dyDescent="0.2">
      <c r="F914" s="2"/>
      <c r="I914" s="2"/>
      <c r="J914" s="2"/>
      <c r="M914" s="2"/>
      <c r="N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6:31" ht="12.75" x14ac:dyDescent="0.2">
      <c r="F915" s="2"/>
      <c r="I915" s="2"/>
      <c r="J915" s="2"/>
      <c r="M915" s="2"/>
      <c r="N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6:31" ht="12.75" x14ac:dyDescent="0.2">
      <c r="F916" s="2"/>
      <c r="I916" s="2"/>
      <c r="J916" s="2"/>
      <c r="M916" s="2"/>
      <c r="N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6:31" ht="12.75" x14ac:dyDescent="0.2">
      <c r="F917" s="2"/>
      <c r="I917" s="2"/>
      <c r="J917" s="2"/>
      <c r="M917" s="2"/>
      <c r="N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6:31" ht="12.75" x14ac:dyDescent="0.2">
      <c r="F918" s="2"/>
      <c r="I918" s="2"/>
      <c r="J918" s="2"/>
      <c r="M918" s="2"/>
      <c r="N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6:31" ht="12.75" x14ac:dyDescent="0.2">
      <c r="F919" s="2"/>
      <c r="I919" s="2"/>
      <c r="J919" s="2"/>
      <c r="M919" s="2"/>
      <c r="N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6:31" ht="12.75" x14ac:dyDescent="0.2">
      <c r="F920" s="2"/>
      <c r="I920" s="2"/>
      <c r="J920" s="2"/>
      <c r="M920" s="2"/>
      <c r="N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6:31" ht="12.75" x14ac:dyDescent="0.2">
      <c r="F921" s="2"/>
      <c r="I921" s="2"/>
      <c r="J921" s="2"/>
      <c r="M921" s="2"/>
      <c r="N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6:31" ht="12.75" x14ac:dyDescent="0.2">
      <c r="F922" s="2"/>
      <c r="I922" s="2"/>
      <c r="J922" s="2"/>
      <c r="M922" s="2"/>
      <c r="N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6:31" ht="12.75" x14ac:dyDescent="0.2">
      <c r="F923" s="2"/>
      <c r="I923" s="2"/>
      <c r="J923" s="2"/>
      <c r="M923" s="2"/>
      <c r="N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6:31" ht="12.75" x14ac:dyDescent="0.2">
      <c r="F924" s="2"/>
      <c r="I924" s="2"/>
      <c r="J924" s="2"/>
      <c r="M924" s="2"/>
      <c r="N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6:31" ht="12.75" x14ac:dyDescent="0.2">
      <c r="F925" s="2"/>
      <c r="I925" s="2"/>
      <c r="J925" s="2"/>
      <c r="M925" s="2"/>
      <c r="N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6:31" ht="12.75" x14ac:dyDescent="0.2">
      <c r="F926" s="2"/>
      <c r="I926" s="2"/>
      <c r="J926" s="2"/>
      <c r="M926" s="2"/>
      <c r="N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6:31" ht="12.75" x14ac:dyDescent="0.2">
      <c r="F927" s="2"/>
      <c r="I927" s="2"/>
      <c r="J927" s="2"/>
      <c r="M927" s="2"/>
      <c r="N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6:31" ht="12.75" x14ac:dyDescent="0.2">
      <c r="F928" s="2"/>
      <c r="I928" s="2"/>
      <c r="J928" s="2"/>
      <c r="M928" s="2"/>
      <c r="N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6:31" ht="12.75" x14ac:dyDescent="0.2">
      <c r="F929" s="2"/>
      <c r="I929" s="2"/>
      <c r="J929" s="2"/>
      <c r="M929" s="2"/>
      <c r="N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6:31" ht="12.75" x14ac:dyDescent="0.2">
      <c r="F930" s="2"/>
      <c r="I930" s="2"/>
      <c r="J930" s="2"/>
      <c r="M930" s="2"/>
      <c r="N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6:31" ht="12.75" x14ac:dyDescent="0.2">
      <c r="F931" s="2"/>
      <c r="I931" s="2"/>
      <c r="J931" s="2"/>
      <c r="M931" s="2"/>
      <c r="N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6:31" ht="12.75" x14ac:dyDescent="0.2">
      <c r="F932" s="2"/>
      <c r="I932" s="2"/>
      <c r="J932" s="2"/>
      <c r="M932" s="2"/>
      <c r="N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6:31" ht="12.75" x14ac:dyDescent="0.2">
      <c r="F933" s="2"/>
      <c r="I933" s="2"/>
      <c r="J933" s="2"/>
      <c r="M933" s="2"/>
      <c r="N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6:31" ht="12.75" x14ac:dyDescent="0.2">
      <c r="F934" s="2"/>
      <c r="I934" s="2"/>
      <c r="J934" s="2"/>
      <c r="M934" s="2"/>
      <c r="N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6:31" ht="12.75" x14ac:dyDescent="0.2">
      <c r="F935" s="2"/>
      <c r="I935" s="2"/>
      <c r="J935" s="2"/>
      <c r="M935" s="2"/>
      <c r="N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6:31" ht="12.75" x14ac:dyDescent="0.2">
      <c r="F936" s="2"/>
      <c r="I936" s="2"/>
      <c r="J936" s="2"/>
      <c r="M936" s="2"/>
      <c r="N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6:31" ht="12.75" x14ac:dyDescent="0.2">
      <c r="F937" s="2"/>
      <c r="I937" s="2"/>
      <c r="J937" s="2"/>
      <c r="M937" s="2"/>
      <c r="N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6:31" ht="12.75" x14ac:dyDescent="0.2">
      <c r="F938" s="2"/>
      <c r="I938" s="2"/>
      <c r="J938" s="2"/>
      <c r="M938" s="2"/>
      <c r="N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6:31" ht="12.75" x14ac:dyDescent="0.2">
      <c r="F939" s="2"/>
      <c r="I939" s="2"/>
      <c r="J939" s="2"/>
      <c r="M939" s="2"/>
      <c r="N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6:31" ht="12.75" x14ac:dyDescent="0.2">
      <c r="F940" s="2"/>
      <c r="I940" s="2"/>
      <c r="J940" s="2"/>
      <c r="M940" s="2"/>
      <c r="N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6:31" ht="12.75" x14ac:dyDescent="0.2">
      <c r="F941" s="2"/>
      <c r="I941" s="2"/>
      <c r="J941" s="2"/>
      <c r="M941" s="2"/>
      <c r="N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6:31" ht="12.75" x14ac:dyDescent="0.2">
      <c r="F942" s="2"/>
      <c r="I942" s="2"/>
      <c r="J942" s="2"/>
      <c r="M942" s="2"/>
      <c r="N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6:31" ht="12.75" x14ac:dyDescent="0.2">
      <c r="F943" s="2"/>
      <c r="I943" s="2"/>
      <c r="J943" s="2"/>
      <c r="M943" s="2"/>
      <c r="N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6:31" ht="12.75" x14ac:dyDescent="0.2">
      <c r="F944" s="2"/>
      <c r="I944" s="2"/>
      <c r="J944" s="2"/>
      <c r="M944" s="2"/>
      <c r="N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6:31" ht="12.75" x14ac:dyDescent="0.2">
      <c r="F945" s="2"/>
      <c r="I945" s="2"/>
      <c r="J945" s="2"/>
      <c r="M945" s="2"/>
      <c r="N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6:31" ht="12.75" x14ac:dyDescent="0.2">
      <c r="F946" s="2"/>
      <c r="I946" s="2"/>
      <c r="J946" s="2"/>
      <c r="M946" s="2"/>
      <c r="N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6:31" ht="12.75" x14ac:dyDescent="0.2">
      <c r="F947" s="2"/>
      <c r="I947" s="2"/>
      <c r="J947" s="2"/>
      <c r="M947" s="2"/>
      <c r="N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6:31" ht="12.75" x14ac:dyDescent="0.2">
      <c r="F948" s="2"/>
      <c r="I948" s="2"/>
      <c r="J948" s="2"/>
      <c r="M948" s="2"/>
      <c r="N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6:31" ht="12.75" x14ac:dyDescent="0.2">
      <c r="F949" s="2"/>
      <c r="I949" s="2"/>
      <c r="J949" s="2"/>
      <c r="M949" s="2"/>
      <c r="N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6:31" ht="12.75" x14ac:dyDescent="0.2">
      <c r="F950" s="2"/>
      <c r="I950" s="2"/>
      <c r="J950" s="2"/>
      <c r="M950" s="2"/>
      <c r="N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6:31" ht="12.75" x14ac:dyDescent="0.2">
      <c r="F951" s="2"/>
      <c r="I951" s="2"/>
      <c r="J951" s="2"/>
      <c r="M951" s="2"/>
      <c r="N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6:31" ht="12.75" x14ac:dyDescent="0.2">
      <c r="F952" s="2"/>
      <c r="I952" s="2"/>
      <c r="J952" s="2"/>
      <c r="M952" s="2"/>
      <c r="N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6:31" ht="12.75" x14ac:dyDescent="0.2">
      <c r="F953" s="2"/>
      <c r="I953" s="2"/>
      <c r="J953" s="2"/>
      <c r="M953" s="2"/>
      <c r="N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6:31" ht="12.75" x14ac:dyDescent="0.2">
      <c r="F954" s="2"/>
      <c r="I954" s="2"/>
      <c r="J954" s="2"/>
      <c r="M954" s="2"/>
      <c r="N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6:31" ht="12.75" x14ac:dyDescent="0.2">
      <c r="F955" s="2"/>
      <c r="I955" s="2"/>
      <c r="J955" s="2"/>
      <c r="M955" s="2"/>
      <c r="N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6:31" ht="12.75" x14ac:dyDescent="0.2">
      <c r="F956" s="2"/>
      <c r="I956" s="2"/>
      <c r="J956" s="2"/>
      <c r="M956" s="2"/>
      <c r="N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6:31" ht="12.75" x14ac:dyDescent="0.2">
      <c r="F957" s="2"/>
      <c r="I957" s="2"/>
      <c r="J957" s="2"/>
      <c r="M957" s="2"/>
      <c r="N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6:31" ht="12.75" x14ac:dyDescent="0.2">
      <c r="F958" s="2"/>
      <c r="I958" s="2"/>
      <c r="J958" s="2"/>
      <c r="M958" s="2"/>
      <c r="N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6:31" ht="12.75" x14ac:dyDescent="0.2">
      <c r="F959" s="2"/>
      <c r="I959" s="2"/>
      <c r="J959" s="2"/>
      <c r="M959" s="2"/>
      <c r="N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6:31" ht="12.75" x14ac:dyDescent="0.2">
      <c r="F960" s="2"/>
      <c r="I960" s="2"/>
      <c r="J960" s="2"/>
      <c r="M960" s="2"/>
      <c r="N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6:31" ht="12.75" x14ac:dyDescent="0.2">
      <c r="F961" s="2"/>
      <c r="I961" s="2"/>
      <c r="J961" s="2"/>
      <c r="M961" s="2"/>
      <c r="N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6:31" ht="12.75" x14ac:dyDescent="0.2">
      <c r="F962" s="2"/>
      <c r="I962" s="2"/>
      <c r="J962" s="2"/>
      <c r="M962" s="2"/>
      <c r="N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6:31" ht="12.75" x14ac:dyDescent="0.2">
      <c r="F963" s="2"/>
      <c r="I963" s="2"/>
      <c r="J963" s="2"/>
      <c r="M963" s="2"/>
      <c r="N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6:31" ht="12.75" x14ac:dyDescent="0.2">
      <c r="F964" s="2"/>
      <c r="I964" s="2"/>
      <c r="J964" s="2"/>
      <c r="M964" s="2"/>
      <c r="N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6:31" ht="12.75" x14ac:dyDescent="0.2">
      <c r="F965" s="2"/>
      <c r="I965" s="2"/>
      <c r="J965" s="2"/>
      <c r="M965" s="2"/>
      <c r="N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6:31" ht="12.75" x14ac:dyDescent="0.2">
      <c r="F966" s="2"/>
      <c r="I966" s="2"/>
      <c r="J966" s="2"/>
      <c r="M966" s="2"/>
      <c r="N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6:31" ht="12.75" x14ac:dyDescent="0.2">
      <c r="F967" s="2"/>
      <c r="I967" s="2"/>
      <c r="J967" s="2"/>
      <c r="M967" s="2"/>
      <c r="N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6:31" ht="12.75" x14ac:dyDescent="0.2">
      <c r="F968" s="2"/>
      <c r="I968" s="2"/>
      <c r="J968" s="2"/>
      <c r="M968" s="2"/>
      <c r="N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6:31" ht="12.75" x14ac:dyDescent="0.2">
      <c r="F969" s="2"/>
      <c r="I969" s="2"/>
      <c r="J969" s="2"/>
      <c r="M969" s="2"/>
      <c r="N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6:31" ht="12.75" x14ac:dyDescent="0.2">
      <c r="F970" s="2"/>
      <c r="I970" s="2"/>
      <c r="J970" s="2"/>
      <c r="M970" s="2"/>
      <c r="N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6:31" ht="12.75" x14ac:dyDescent="0.2">
      <c r="F971" s="2"/>
      <c r="I971" s="2"/>
      <c r="J971" s="2"/>
      <c r="M971" s="2"/>
      <c r="N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6:31" ht="12.75" x14ac:dyDescent="0.2">
      <c r="F972" s="2"/>
      <c r="I972" s="2"/>
      <c r="J972" s="2"/>
      <c r="M972" s="2"/>
      <c r="N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6:31" ht="12.75" x14ac:dyDescent="0.2">
      <c r="F973" s="2"/>
      <c r="I973" s="2"/>
      <c r="J973" s="2"/>
      <c r="M973" s="2"/>
      <c r="N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6:31" ht="12.75" x14ac:dyDescent="0.2">
      <c r="F974" s="2"/>
      <c r="I974" s="2"/>
      <c r="J974" s="2"/>
      <c r="M974" s="2"/>
      <c r="N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6:31" ht="12.75" x14ac:dyDescent="0.2">
      <c r="F975" s="2"/>
      <c r="I975" s="2"/>
      <c r="J975" s="2"/>
      <c r="M975" s="2"/>
      <c r="N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6:31" ht="12.75" x14ac:dyDescent="0.2">
      <c r="F976" s="2"/>
      <c r="I976" s="2"/>
      <c r="J976" s="2"/>
      <c r="M976" s="2"/>
      <c r="N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6:31" ht="12.75" x14ac:dyDescent="0.2">
      <c r="F977" s="2"/>
      <c r="I977" s="2"/>
      <c r="J977" s="2"/>
      <c r="M977" s="2"/>
      <c r="N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6:31" ht="12.75" x14ac:dyDescent="0.2">
      <c r="F978" s="2"/>
      <c r="I978" s="2"/>
      <c r="J978" s="2"/>
      <c r="M978" s="2"/>
      <c r="N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6:31" ht="12.75" x14ac:dyDescent="0.2">
      <c r="F979" s="2"/>
      <c r="I979" s="2"/>
      <c r="J979" s="2"/>
      <c r="M979" s="2"/>
      <c r="N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6:31" ht="12.75" x14ac:dyDescent="0.2">
      <c r="F980" s="2"/>
      <c r="I980" s="2"/>
      <c r="J980" s="2"/>
      <c r="M980" s="2"/>
      <c r="N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6:31" ht="12.75" x14ac:dyDescent="0.2">
      <c r="F981" s="2"/>
      <c r="I981" s="2"/>
      <c r="J981" s="2"/>
      <c r="M981" s="2"/>
      <c r="N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6:31" ht="12.75" x14ac:dyDescent="0.2">
      <c r="F982" s="2"/>
      <c r="I982" s="2"/>
      <c r="J982" s="2"/>
      <c r="M982" s="2"/>
      <c r="N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6:31" ht="12.75" x14ac:dyDescent="0.2">
      <c r="F983" s="2"/>
      <c r="I983" s="2"/>
      <c r="J983" s="2"/>
      <c r="M983" s="2"/>
      <c r="N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6:31" ht="12.75" x14ac:dyDescent="0.2">
      <c r="F984" s="2"/>
      <c r="I984" s="2"/>
      <c r="J984" s="2"/>
      <c r="M984" s="2"/>
      <c r="N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6:31" ht="12.75" x14ac:dyDescent="0.2">
      <c r="F985" s="2"/>
      <c r="I985" s="2"/>
      <c r="J985" s="2"/>
      <c r="M985" s="2"/>
      <c r="N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6:31" ht="12.75" x14ac:dyDescent="0.2">
      <c r="F986" s="2"/>
      <c r="I986" s="2"/>
      <c r="J986" s="2"/>
      <c r="M986" s="2"/>
      <c r="N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6:31" ht="12.75" x14ac:dyDescent="0.2">
      <c r="F987" s="2"/>
      <c r="I987" s="2"/>
      <c r="J987" s="2"/>
      <c r="M987" s="2"/>
      <c r="N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6:31" ht="12.75" x14ac:dyDescent="0.2">
      <c r="F988" s="2"/>
      <c r="I988" s="2"/>
      <c r="J988" s="2"/>
      <c r="M988" s="2"/>
      <c r="N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6:31" ht="12.75" x14ac:dyDescent="0.2">
      <c r="F989" s="2"/>
      <c r="I989" s="2"/>
      <c r="J989" s="2"/>
      <c r="M989" s="2"/>
      <c r="N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6:31" ht="12.75" x14ac:dyDescent="0.2">
      <c r="F990" s="2"/>
      <c r="I990" s="2"/>
      <c r="J990" s="2"/>
      <c r="M990" s="2"/>
      <c r="N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6:31" ht="12.75" x14ac:dyDescent="0.2">
      <c r="F991" s="2"/>
      <c r="I991" s="2"/>
      <c r="J991" s="2"/>
      <c r="M991" s="2"/>
      <c r="N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6:31" ht="12.75" x14ac:dyDescent="0.2">
      <c r="F992" s="2"/>
      <c r="I992" s="2"/>
      <c r="J992" s="2"/>
      <c r="M992" s="2"/>
      <c r="N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6:31" ht="12.75" x14ac:dyDescent="0.2">
      <c r="F993" s="2"/>
      <c r="I993" s="2"/>
      <c r="J993" s="2"/>
      <c r="M993" s="2"/>
      <c r="N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6:31" ht="12.75" x14ac:dyDescent="0.2">
      <c r="F994" s="2"/>
      <c r="I994" s="2"/>
      <c r="J994" s="2"/>
      <c r="M994" s="2"/>
      <c r="N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6:31" ht="12.75" x14ac:dyDescent="0.2">
      <c r="F995" s="2"/>
      <c r="I995" s="2"/>
      <c r="J995" s="2"/>
      <c r="M995" s="2"/>
      <c r="N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6:31" ht="12.75" x14ac:dyDescent="0.2">
      <c r="F996" s="2"/>
      <c r="I996" s="2"/>
      <c r="J996" s="2"/>
      <c r="M996" s="2"/>
      <c r="N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6:31" ht="12.75" x14ac:dyDescent="0.2">
      <c r="F997" s="2"/>
      <c r="I997" s="2"/>
      <c r="J997" s="2"/>
      <c r="M997" s="2"/>
      <c r="N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6:31" ht="12.75" x14ac:dyDescent="0.2">
      <c r="F998" s="2"/>
      <c r="I998" s="2"/>
      <c r="J998" s="2"/>
      <c r="M998" s="2"/>
      <c r="N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6:31" ht="12.75" x14ac:dyDescent="0.2">
      <c r="F999" s="2"/>
      <c r="I999" s="2"/>
      <c r="J999" s="2"/>
      <c r="M999" s="2"/>
      <c r="N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6:31" ht="12.75" x14ac:dyDescent="0.2">
      <c r="F1000" s="2"/>
      <c r="I1000" s="2"/>
      <c r="J1000" s="2"/>
      <c r="M1000" s="2"/>
      <c r="N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I23"/>
  <sheetViews>
    <sheetView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P3" sqref="P3"/>
    </sheetView>
  </sheetViews>
  <sheetFormatPr defaultColWidth="12.5703125" defaultRowHeight="15.75" customHeight="1" x14ac:dyDescent="0.2"/>
  <cols>
    <col min="10" max="10" width="16.140625" customWidth="1"/>
  </cols>
  <sheetData>
    <row r="1" spans="1:35" ht="15.75" customHeight="1" x14ac:dyDescent="0.2">
      <c r="A1" s="1" t="s">
        <v>199</v>
      </c>
      <c r="B1" s="1" t="s">
        <v>120</v>
      </c>
      <c r="C1" s="1" t="s">
        <v>121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22</v>
      </c>
      <c r="X1" s="1"/>
      <c r="Y1" s="1" t="s">
        <v>200</v>
      </c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 x14ac:dyDescent="0.2">
      <c r="A2" s="2" t="s">
        <v>201</v>
      </c>
      <c r="B2" s="2" t="s">
        <v>51</v>
      </c>
      <c r="C2" s="2">
        <v>2021</v>
      </c>
      <c r="D2" s="2" t="s">
        <v>33</v>
      </c>
      <c r="E2" s="2" t="s">
        <v>52</v>
      </c>
      <c r="F2" s="2" t="s">
        <v>26</v>
      </c>
      <c r="G2" s="2" t="s">
        <v>53</v>
      </c>
      <c r="H2" s="2" t="s">
        <v>35</v>
      </c>
      <c r="I2" s="2" t="s">
        <v>54</v>
      </c>
      <c r="J2" s="2" t="s">
        <v>55</v>
      </c>
      <c r="K2" s="2" t="s">
        <v>56</v>
      </c>
      <c r="L2" s="4">
        <v>12448</v>
      </c>
      <c r="M2" s="4">
        <v>5441621</v>
      </c>
      <c r="N2" s="4">
        <v>24895</v>
      </c>
      <c r="O2" s="4">
        <v>5429174</v>
      </c>
      <c r="P2" s="4">
        <f>SUM(N2,O2)</f>
        <v>5454069</v>
      </c>
      <c r="Q2" s="2" t="s">
        <v>57</v>
      </c>
      <c r="R2" s="2" t="s">
        <v>58</v>
      </c>
      <c r="S2" s="2" t="s">
        <v>59</v>
      </c>
      <c r="T2" s="2">
        <v>0.72</v>
      </c>
      <c r="U2" s="2">
        <v>0.56000000000000005</v>
      </c>
      <c r="V2" s="2">
        <v>0.93</v>
      </c>
      <c r="W2" s="2" t="s">
        <v>60</v>
      </c>
      <c r="X2" s="2"/>
      <c r="Y2" s="2">
        <v>9</v>
      </c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5.75" customHeight="1" x14ac:dyDescent="0.2">
      <c r="A3" s="2" t="s">
        <v>202</v>
      </c>
      <c r="B3" s="2" t="s">
        <v>165</v>
      </c>
      <c r="C3" s="2">
        <v>2021</v>
      </c>
      <c r="D3" s="2" t="s">
        <v>33</v>
      </c>
      <c r="E3" s="2" t="s">
        <v>166</v>
      </c>
      <c r="F3" s="2" t="s">
        <v>167</v>
      </c>
      <c r="G3" s="12" t="s">
        <v>168</v>
      </c>
      <c r="H3" s="2" t="s">
        <v>45</v>
      </c>
      <c r="I3" s="2" t="s">
        <v>53</v>
      </c>
      <c r="J3" s="2" t="s">
        <v>169</v>
      </c>
      <c r="K3" s="2" t="s">
        <v>170</v>
      </c>
      <c r="L3" s="2">
        <v>12448</v>
      </c>
      <c r="M3" s="2">
        <v>5441621</v>
      </c>
      <c r="N3" s="4">
        <v>24895</v>
      </c>
      <c r="O3" s="2">
        <v>5429174</v>
      </c>
      <c r="P3" s="4">
        <v>5454069</v>
      </c>
      <c r="Q3" s="2">
        <v>35.9</v>
      </c>
      <c r="R3" s="2" t="s">
        <v>58</v>
      </c>
      <c r="S3" s="2" t="s">
        <v>59</v>
      </c>
      <c r="T3" s="2">
        <v>0.72</v>
      </c>
      <c r="U3" s="2">
        <v>0.56000000000000005</v>
      </c>
      <c r="V3" s="2">
        <v>0.93</v>
      </c>
      <c r="W3" s="2" t="s">
        <v>171</v>
      </c>
      <c r="X3" s="2"/>
      <c r="Y3" s="2">
        <v>9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customHeight="1" x14ac:dyDescent="0.2">
      <c r="A4" s="2" t="s">
        <v>201</v>
      </c>
      <c r="B4" s="6" t="s">
        <v>74</v>
      </c>
      <c r="C4" s="6">
        <v>2022</v>
      </c>
      <c r="D4" s="6" t="s">
        <v>75</v>
      </c>
      <c r="E4" s="6" t="s">
        <v>76</v>
      </c>
      <c r="F4" s="6" t="s">
        <v>26</v>
      </c>
      <c r="G4" s="6" t="s">
        <v>77</v>
      </c>
      <c r="H4" s="6" t="s">
        <v>35</v>
      </c>
      <c r="I4" s="6" t="s">
        <v>78</v>
      </c>
      <c r="J4" s="6" t="s">
        <v>79</v>
      </c>
      <c r="K4" s="6" t="s">
        <v>80</v>
      </c>
      <c r="L4" s="6"/>
      <c r="M4" s="6"/>
      <c r="N4" s="8">
        <v>25889</v>
      </c>
      <c r="O4" s="8">
        <v>32080</v>
      </c>
      <c r="P4" s="8">
        <f>SUM(N4,O4)</f>
        <v>57969</v>
      </c>
      <c r="Q4" s="6"/>
      <c r="R4" s="6"/>
      <c r="S4" s="6"/>
      <c r="T4" s="6"/>
      <c r="U4" s="6"/>
      <c r="V4" s="6"/>
      <c r="W4" s="6"/>
      <c r="X4" s="6" t="s">
        <v>81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5.75" customHeight="1" x14ac:dyDescent="0.2">
      <c r="A5" s="6" t="s">
        <v>203</v>
      </c>
      <c r="B5" s="6" t="s">
        <v>74</v>
      </c>
      <c r="C5" s="6">
        <v>2022</v>
      </c>
      <c r="D5" s="6" t="s">
        <v>140</v>
      </c>
      <c r="E5" s="6" t="s">
        <v>65</v>
      </c>
      <c r="F5" s="6" t="s">
        <v>141</v>
      </c>
      <c r="G5" s="6" t="s">
        <v>142</v>
      </c>
      <c r="H5" s="6" t="s">
        <v>113</v>
      </c>
      <c r="I5" s="6" t="s">
        <v>78</v>
      </c>
      <c r="J5" s="6">
        <v>9</v>
      </c>
      <c r="K5" s="6" t="s">
        <v>143</v>
      </c>
      <c r="L5" s="6">
        <v>25889</v>
      </c>
      <c r="M5" s="6">
        <v>32080</v>
      </c>
      <c r="N5" s="6"/>
      <c r="O5" s="6"/>
      <c r="P5" s="6">
        <v>57969</v>
      </c>
      <c r="Q5" s="6">
        <v>38.200000000000003</v>
      </c>
      <c r="R5" s="6">
        <v>40.200000000000003</v>
      </c>
      <c r="S5" s="6"/>
      <c r="T5" s="6"/>
      <c r="U5" s="6"/>
      <c r="V5" s="6"/>
      <c r="W5" s="6" t="s">
        <v>117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15.75" customHeight="1" x14ac:dyDescent="0.2">
      <c r="A6" s="2" t="s">
        <v>201</v>
      </c>
      <c r="B6" s="2" t="s">
        <v>32</v>
      </c>
      <c r="C6" s="2">
        <v>2021</v>
      </c>
      <c r="D6" s="2" t="s">
        <v>33</v>
      </c>
      <c r="E6" s="2" t="s">
        <v>25</v>
      </c>
      <c r="F6" s="2" t="s">
        <v>126</v>
      </c>
      <c r="G6" s="2" t="s">
        <v>34</v>
      </c>
      <c r="H6" s="2" t="s">
        <v>35</v>
      </c>
      <c r="I6" s="2" t="s">
        <v>36</v>
      </c>
      <c r="J6" s="3"/>
      <c r="K6" s="2" t="s">
        <v>29</v>
      </c>
      <c r="L6" s="4">
        <v>4040</v>
      </c>
      <c r="M6" s="4">
        <v>39100</v>
      </c>
      <c r="N6" s="2">
        <v>922</v>
      </c>
      <c r="O6" s="4">
        <v>42218</v>
      </c>
      <c r="P6" s="2">
        <v>43140</v>
      </c>
      <c r="Q6" s="3"/>
      <c r="R6" s="3"/>
      <c r="S6" s="2" t="s">
        <v>30</v>
      </c>
      <c r="T6" s="2" t="s">
        <v>176</v>
      </c>
      <c r="U6" s="2" t="s">
        <v>177</v>
      </c>
      <c r="V6" s="2" t="s">
        <v>178</v>
      </c>
      <c r="W6" s="2" t="s">
        <v>39</v>
      </c>
      <c r="X6" s="2"/>
      <c r="Y6" s="2">
        <v>8</v>
      </c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5.75" customHeight="1" x14ac:dyDescent="0.2">
      <c r="A7" s="2" t="s">
        <v>202</v>
      </c>
      <c r="B7" s="2" t="s">
        <v>32</v>
      </c>
      <c r="C7" s="2">
        <v>2021</v>
      </c>
      <c r="D7" s="2" t="s">
        <v>33</v>
      </c>
      <c r="E7" s="2" t="s">
        <v>42</v>
      </c>
      <c r="F7" s="2" t="s">
        <v>167</v>
      </c>
      <c r="G7" s="2" t="s">
        <v>204</v>
      </c>
      <c r="H7" s="2" t="s">
        <v>45</v>
      </c>
      <c r="I7" s="2" t="s">
        <v>175</v>
      </c>
      <c r="J7" s="3"/>
      <c r="K7" s="2" t="s">
        <v>149</v>
      </c>
      <c r="L7" s="2">
        <v>4040</v>
      </c>
      <c r="M7" s="2">
        <v>39100</v>
      </c>
      <c r="N7" s="2">
        <v>922</v>
      </c>
      <c r="O7" s="2">
        <v>42218</v>
      </c>
      <c r="P7" s="2">
        <v>43140</v>
      </c>
      <c r="Q7" s="3"/>
      <c r="R7" s="3"/>
      <c r="S7" s="2" t="s">
        <v>30</v>
      </c>
      <c r="T7" s="2" t="s">
        <v>176</v>
      </c>
      <c r="U7" s="2" t="s">
        <v>177</v>
      </c>
      <c r="V7" s="2" t="s">
        <v>178</v>
      </c>
      <c r="W7" s="2" t="s">
        <v>205</v>
      </c>
      <c r="X7" s="2" t="s">
        <v>180</v>
      </c>
      <c r="Y7" s="2">
        <v>8</v>
      </c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5.75" customHeight="1" x14ac:dyDescent="0.2">
      <c r="A8" s="2" t="s">
        <v>201</v>
      </c>
      <c r="B8" s="2" t="s">
        <v>23</v>
      </c>
      <c r="C8" s="2">
        <v>2018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27</v>
      </c>
      <c r="J8" s="3"/>
      <c r="K8" s="2" t="s">
        <v>29</v>
      </c>
      <c r="L8" s="2">
        <v>198</v>
      </c>
      <c r="M8" s="2">
        <v>389</v>
      </c>
      <c r="N8" s="2">
        <v>437</v>
      </c>
      <c r="O8" s="2">
        <v>150</v>
      </c>
      <c r="P8" s="2">
        <v>587</v>
      </c>
      <c r="Q8" s="3"/>
      <c r="R8" s="3"/>
      <c r="S8" s="2" t="s">
        <v>30</v>
      </c>
      <c r="T8" s="2">
        <v>2.08</v>
      </c>
      <c r="U8" s="2">
        <v>1.34</v>
      </c>
      <c r="V8" s="2">
        <v>3.2269999999999999</v>
      </c>
      <c r="W8" s="2" t="s">
        <v>31</v>
      </c>
      <c r="X8" s="2"/>
      <c r="Y8" s="2">
        <v>8</v>
      </c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5.75" customHeight="1" x14ac:dyDescent="0.2">
      <c r="A9" s="2" t="s">
        <v>203</v>
      </c>
      <c r="B9" s="2" t="s">
        <v>23</v>
      </c>
      <c r="C9" s="2">
        <v>2018</v>
      </c>
      <c r="D9" s="2" t="s">
        <v>147</v>
      </c>
      <c r="E9" s="2" t="s">
        <v>42</v>
      </c>
      <c r="F9" s="2" t="s">
        <v>26</v>
      </c>
      <c r="G9" s="2" t="s">
        <v>138</v>
      </c>
      <c r="H9" s="2" t="s">
        <v>148</v>
      </c>
      <c r="I9" s="2" t="s">
        <v>138</v>
      </c>
      <c r="J9" s="3"/>
      <c r="K9" s="2" t="s">
        <v>149</v>
      </c>
      <c r="L9" s="2">
        <v>198</v>
      </c>
      <c r="M9" s="2">
        <v>389</v>
      </c>
      <c r="N9" s="2">
        <v>437</v>
      </c>
      <c r="O9" s="2">
        <v>150</v>
      </c>
      <c r="P9" s="2">
        <v>587</v>
      </c>
      <c r="Q9" s="3"/>
      <c r="R9" s="3"/>
      <c r="S9" s="2" t="s">
        <v>30</v>
      </c>
      <c r="T9" s="2">
        <v>2.08</v>
      </c>
      <c r="U9" s="2">
        <v>1.34</v>
      </c>
      <c r="V9" s="13">
        <v>3.2269999999999999</v>
      </c>
      <c r="W9" s="2" t="s">
        <v>206</v>
      </c>
      <c r="X9" s="2"/>
      <c r="Y9" s="2">
        <v>8</v>
      </c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5.75" customHeight="1" x14ac:dyDescent="0.2">
      <c r="A10" s="2" t="s">
        <v>201</v>
      </c>
      <c r="B10" s="2" t="s">
        <v>51</v>
      </c>
      <c r="C10" s="2">
        <v>2015</v>
      </c>
      <c r="D10" s="2" t="s">
        <v>33</v>
      </c>
      <c r="E10" s="2" t="s">
        <v>52</v>
      </c>
      <c r="F10" s="2" t="s">
        <v>26</v>
      </c>
      <c r="G10" s="2" t="s">
        <v>34</v>
      </c>
      <c r="H10" s="2" t="s">
        <v>35</v>
      </c>
      <c r="I10" s="2" t="s">
        <v>54</v>
      </c>
      <c r="J10" s="2" t="s">
        <v>61</v>
      </c>
      <c r="K10" s="3"/>
      <c r="L10" s="4">
        <v>30830</v>
      </c>
      <c r="M10" s="4">
        <f>P10-L10</f>
        <v>5452722</v>
      </c>
      <c r="N10" s="4">
        <v>34433</v>
      </c>
      <c r="O10" s="4">
        <v>5449119</v>
      </c>
      <c r="P10" s="4">
        <f>SUM(O10,N10)</f>
        <v>5483552</v>
      </c>
      <c r="Q10" s="2" t="s">
        <v>57</v>
      </c>
      <c r="R10" s="2" t="s">
        <v>62</v>
      </c>
      <c r="S10" s="2" t="s">
        <v>59</v>
      </c>
      <c r="T10" s="2">
        <v>0.65</v>
      </c>
      <c r="U10" s="2">
        <v>0.52</v>
      </c>
      <c r="V10" s="2">
        <v>0.81</v>
      </c>
      <c r="W10" s="2" t="s">
        <v>60</v>
      </c>
      <c r="X10" s="2"/>
      <c r="Y10" s="2">
        <v>9</v>
      </c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5.75" customHeight="1" x14ac:dyDescent="0.2">
      <c r="A11" s="2" t="s">
        <v>203</v>
      </c>
      <c r="B11" s="2" t="s">
        <v>51</v>
      </c>
      <c r="C11" s="2">
        <v>2015</v>
      </c>
      <c r="D11" s="2" t="s">
        <v>33</v>
      </c>
      <c r="E11" s="2" t="s">
        <v>65</v>
      </c>
      <c r="F11" s="2" t="s">
        <v>26</v>
      </c>
      <c r="G11" s="2" t="s">
        <v>34</v>
      </c>
      <c r="H11" s="2" t="s">
        <v>153</v>
      </c>
      <c r="I11" s="2" t="s">
        <v>54</v>
      </c>
      <c r="J11" s="2" t="s">
        <v>207</v>
      </c>
      <c r="K11" s="3"/>
      <c r="L11" s="2" t="s">
        <v>208</v>
      </c>
      <c r="M11" s="4">
        <v>5452722</v>
      </c>
      <c r="N11" s="4">
        <v>34433</v>
      </c>
      <c r="O11" s="4">
        <v>5449119</v>
      </c>
      <c r="P11" s="4">
        <f>SUM(N11,O11)</f>
        <v>5483552</v>
      </c>
      <c r="Q11" s="14" t="s">
        <v>57</v>
      </c>
      <c r="R11" s="2" t="s">
        <v>62</v>
      </c>
      <c r="S11" s="2" t="s">
        <v>59</v>
      </c>
      <c r="T11" s="2">
        <v>0.65</v>
      </c>
      <c r="U11" s="2">
        <v>0.52</v>
      </c>
      <c r="V11" s="2">
        <v>0.81</v>
      </c>
      <c r="W11" s="2" t="s">
        <v>60</v>
      </c>
      <c r="X11" s="2"/>
      <c r="Y11" s="2">
        <v>9</v>
      </c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5.75" customHeight="1" x14ac:dyDescent="0.2">
      <c r="A12" s="2" t="s">
        <v>201</v>
      </c>
      <c r="B12" s="2" t="s">
        <v>82</v>
      </c>
      <c r="C12" s="2">
        <v>2019</v>
      </c>
      <c r="D12" s="2" t="s">
        <v>83</v>
      </c>
      <c r="E12" s="2" t="s">
        <v>76</v>
      </c>
      <c r="F12" s="2" t="s">
        <v>84</v>
      </c>
      <c r="G12" s="2" t="s">
        <v>85</v>
      </c>
      <c r="H12" s="2" t="s">
        <v>35</v>
      </c>
      <c r="I12" s="2" t="s">
        <v>86</v>
      </c>
      <c r="J12" s="2" t="s">
        <v>87</v>
      </c>
      <c r="K12" s="3"/>
      <c r="L12" s="2">
        <v>73</v>
      </c>
      <c r="M12" s="4">
        <v>999081</v>
      </c>
      <c r="N12" s="4">
        <v>45410</v>
      </c>
      <c r="O12" s="4">
        <v>953744</v>
      </c>
      <c r="P12" s="4">
        <v>999154</v>
      </c>
      <c r="Q12" s="2" t="s">
        <v>88</v>
      </c>
      <c r="R12" s="2" t="s">
        <v>89</v>
      </c>
      <c r="S12" s="2" t="s">
        <v>59</v>
      </c>
      <c r="T12" s="2">
        <v>3.52</v>
      </c>
      <c r="U12" s="2">
        <v>0.89</v>
      </c>
      <c r="V12" s="2">
        <v>13.8</v>
      </c>
      <c r="W12" s="2" t="s">
        <v>90</v>
      </c>
      <c r="X12" s="2"/>
      <c r="Y12" s="2">
        <v>8</v>
      </c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15.75" customHeight="1" x14ac:dyDescent="0.2">
      <c r="A13" s="2" t="s">
        <v>202</v>
      </c>
      <c r="B13" s="2" t="s">
        <v>82</v>
      </c>
      <c r="C13" s="2">
        <v>2019</v>
      </c>
      <c r="D13" s="2" t="s">
        <v>83</v>
      </c>
      <c r="E13" s="2" t="s">
        <v>166</v>
      </c>
      <c r="F13" s="2" t="s">
        <v>189</v>
      </c>
      <c r="G13" s="2" t="s">
        <v>190</v>
      </c>
      <c r="H13" s="2" t="s">
        <v>45</v>
      </c>
      <c r="I13" s="2" t="s">
        <v>191</v>
      </c>
      <c r="J13" s="2" t="s">
        <v>192</v>
      </c>
      <c r="K13" s="3"/>
      <c r="L13" s="2">
        <v>73</v>
      </c>
      <c r="M13" s="2">
        <v>999081</v>
      </c>
      <c r="N13" s="4">
        <v>45410</v>
      </c>
      <c r="O13" s="4">
        <v>953744</v>
      </c>
      <c r="P13" s="2">
        <v>999154</v>
      </c>
      <c r="Q13" s="2">
        <v>45.5</v>
      </c>
      <c r="R13" s="2" t="s">
        <v>209</v>
      </c>
      <c r="S13" s="2" t="s">
        <v>59</v>
      </c>
      <c r="T13" s="2">
        <v>3.52</v>
      </c>
      <c r="U13" s="2">
        <v>0.89</v>
      </c>
      <c r="V13" s="2">
        <v>13.8</v>
      </c>
      <c r="W13" s="2" t="s">
        <v>193</v>
      </c>
      <c r="X13" s="2"/>
      <c r="Y13" s="2">
        <v>8</v>
      </c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5.75" customHeight="1" x14ac:dyDescent="0.2">
      <c r="A14" s="2" t="s">
        <v>201</v>
      </c>
      <c r="B14" s="2" t="s">
        <v>100</v>
      </c>
      <c r="C14" s="2">
        <v>2015</v>
      </c>
      <c r="D14" s="2" t="s">
        <v>41</v>
      </c>
      <c r="E14" s="2" t="s">
        <v>101</v>
      </c>
      <c r="F14" s="2" t="s">
        <v>102</v>
      </c>
      <c r="G14" s="2" t="s">
        <v>103</v>
      </c>
      <c r="H14" s="2" t="s">
        <v>35</v>
      </c>
      <c r="I14" s="2" t="s">
        <v>104</v>
      </c>
      <c r="J14" s="3"/>
      <c r="K14" s="2" t="s">
        <v>105</v>
      </c>
      <c r="L14" s="4" t="s">
        <v>107</v>
      </c>
      <c r="M14" s="2" t="s">
        <v>108</v>
      </c>
      <c r="N14" s="4">
        <v>1899</v>
      </c>
      <c r="O14" s="4">
        <v>206031</v>
      </c>
      <c r="P14" s="4">
        <v>207930</v>
      </c>
      <c r="Q14" s="3"/>
      <c r="R14" s="3"/>
      <c r="S14" s="2" t="s">
        <v>30</v>
      </c>
      <c r="T14" s="2" t="s">
        <v>133</v>
      </c>
      <c r="U14" s="2" t="s">
        <v>134</v>
      </c>
      <c r="V14" s="2" t="s">
        <v>135</v>
      </c>
      <c r="W14" s="2" t="s">
        <v>136</v>
      </c>
      <c r="X14" s="2"/>
      <c r="Y14" s="2">
        <v>8</v>
      </c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5.75" customHeight="1" x14ac:dyDescent="0.2">
      <c r="A15" s="2" t="s">
        <v>202</v>
      </c>
      <c r="B15" s="2" t="s">
        <v>100</v>
      </c>
      <c r="C15" s="2">
        <v>2014</v>
      </c>
      <c r="D15" s="2" t="s">
        <v>41</v>
      </c>
      <c r="E15" s="2" t="s">
        <v>42</v>
      </c>
      <c r="F15" s="2" t="s">
        <v>194</v>
      </c>
      <c r="G15" s="2" t="s">
        <v>103</v>
      </c>
      <c r="H15" s="2" t="s">
        <v>45</v>
      </c>
      <c r="I15" s="2" t="s">
        <v>104</v>
      </c>
      <c r="J15" s="3"/>
      <c r="K15" s="2" t="s">
        <v>195</v>
      </c>
      <c r="L15" s="2">
        <v>13135</v>
      </c>
      <c r="M15" s="2">
        <v>192896</v>
      </c>
      <c r="N15" s="2">
        <v>1899</v>
      </c>
      <c r="O15" s="2">
        <v>206031</v>
      </c>
      <c r="P15" s="2">
        <v>207930</v>
      </c>
      <c r="Q15" s="3"/>
      <c r="R15" s="3"/>
      <c r="S15" s="2" t="s">
        <v>30</v>
      </c>
      <c r="T15" s="2" t="s">
        <v>196</v>
      </c>
      <c r="U15" s="2" t="s">
        <v>197</v>
      </c>
      <c r="V15" s="2" t="s">
        <v>198</v>
      </c>
      <c r="W15" s="2" t="s">
        <v>106</v>
      </c>
      <c r="X15" s="2"/>
      <c r="Y15" s="2">
        <v>9</v>
      </c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5.75" customHeight="1" x14ac:dyDescent="0.2">
      <c r="A16" s="2" t="s">
        <v>203</v>
      </c>
      <c r="B16" s="2" t="s">
        <v>91</v>
      </c>
      <c r="C16" s="2">
        <v>2014</v>
      </c>
      <c r="D16" s="2" t="s">
        <v>92</v>
      </c>
      <c r="E16" s="2" t="s">
        <v>42</v>
      </c>
      <c r="F16" s="2" t="s">
        <v>93</v>
      </c>
      <c r="G16" s="2" t="s">
        <v>94</v>
      </c>
      <c r="H16" s="2" t="s">
        <v>95</v>
      </c>
      <c r="I16" s="2" t="s">
        <v>96</v>
      </c>
      <c r="J16" s="3"/>
      <c r="K16" s="2" t="s">
        <v>97</v>
      </c>
      <c r="L16" s="2">
        <v>194</v>
      </c>
      <c r="M16" s="2">
        <v>388</v>
      </c>
      <c r="N16" s="2">
        <v>26</v>
      </c>
      <c r="O16" s="2">
        <v>556</v>
      </c>
      <c r="P16" s="2">
        <v>582</v>
      </c>
      <c r="Q16" s="3"/>
      <c r="R16" s="3"/>
      <c r="S16" s="2" t="s">
        <v>30</v>
      </c>
      <c r="T16" s="2">
        <v>0.36</v>
      </c>
      <c r="U16" s="2">
        <v>0.13</v>
      </c>
      <c r="V16" s="2">
        <v>1.02</v>
      </c>
      <c r="W16" s="2" t="s">
        <v>98</v>
      </c>
      <c r="X16" s="2" t="s">
        <v>99</v>
      </c>
      <c r="Y16" s="2">
        <v>7</v>
      </c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5.75" customHeight="1" x14ac:dyDescent="0.2">
      <c r="A17" s="2" t="s">
        <v>202</v>
      </c>
      <c r="B17" s="2" t="s">
        <v>155</v>
      </c>
      <c r="C17" s="2">
        <v>2014</v>
      </c>
      <c r="D17" s="2" t="s">
        <v>92</v>
      </c>
      <c r="E17" s="2" t="s">
        <v>156</v>
      </c>
      <c r="F17" s="2" t="s">
        <v>157</v>
      </c>
      <c r="G17" s="2" t="s">
        <v>94</v>
      </c>
      <c r="H17" s="2" t="s">
        <v>159</v>
      </c>
      <c r="I17" s="2" t="s">
        <v>96</v>
      </c>
      <c r="J17" s="3"/>
      <c r="K17" s="2" t="s">
        <v>97</v>
      </c>
      <c r="L17" s="2">
        <v>194</v>
      </c>
      <c r="M17" s="2">
        <v>388</v>
      </c>
      <c r="N17" s="2">
        <v>26</v>
      </c>
      <c r="O17" s="2">
        <v>556</v>
      </c>
      <c r="P17" s="2">
        <v>582</v>
      </c>
      <c r="Q17" s="3"/>
      <c r="R17" s="3"/>
      <c r="S17" s="2" t="s">
        <v>30</v>
      </c>
      <c r="T17" s="2" t="s">
        <v>161</v>
      </c>
      <c r="U17" s="2" t="s">
        <v>162</v>
      </c>
      <c r="V17" s="2" t="s">
        <v>163</v>
      </c>
      <c r="W17" s="2" t="s">
        <v>164</v>
      </c>
      <c r="X17" s="2"/>
      <c r="Y17" s="2">
        <v>8</v>
      </c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5.75" customHeight="1" x14ac:dyDescent="0.2">
      <c r="A18" s="2" t="s">
        <v>203</v>
      </c>
      <c r="B18" s="2" t="s">
        <v>109</v>
      </c>
      <c r="C18" s="2">
        <v>2021</v>
      </c>
      <c r="D18" s="2" t="s">
        <v>110</v>
      </c>
      <c r="E18" s="2" t="s">
        <v>111</v>
      </c>
      <c r="F18" s="2" t="s">
        <v>43</v>
      </c>
      <c r="G18" s="2" t="s">
        <v>112</v>
      </c>
      <c r="H18" s="2" t="s">
        <v>113</v>
      </c>
      <c r="I18" s="2" t="s">
        <v>114</v>
      </c>
      <c r="J18" s="2" t="s">
        <v>115</v>
      </c>
      <c r="K18" s="2" t="s">
        <v>116</v>
      </c>
      <c r="L18" s="2">
        <v>38</v>
      </c>
      <c r="M18" s="2">
        <v>42609</v>
      </c>
      <c r="N18" s="4">
        <v>18961</v>
      </c>
      <c r="O18" s="4">
        <v>23686</v>
      </c>
      <c r="P18" s="4">
        <v>42647</v>
      </c>
      <c r="Q18" s="2">
        <v>32</v>
      </c>
      <c r="R18" s="2">
        <v>33</v>
      </c>
      <c r="S18" s="2" t="s">
        <v>59</v>
      </c>
      <c r="T18" s="2">
        <v>0.76</v>
      </c>
      <c r="U18" s="2">
        <v>0.39</v>
      </c>
      <c r="V18" s="2">
        <v>1.47</v>
      </c>
      <c r="W18" s="2" t="s">
        <v>117</v>
      </c>
      <c r="X18" s="2"/>
      <c r="Y18" s="2">
        <v>7</v>
      </c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5.75" customHeight="1" x14ac:dyDescent="0.2">
      <c r="A19" s="2" t="s">
        <v>202</v>
      </c>
      <c r="B19" s="2" t="s">
        <v>172</v>
      </c>
      <c r="C19" s="2">
        <v>2021</v>
      </c>
      <c r="D19" s="2" t="s">
        <v>110</v>
      </c>
      <c r="E19" s="2" t="s">
        <v>111</v>
      </c>
      <c r="F19" s="2" t="s">
        <v>167</v>
      </c>
      <c r="G19" s="2" t="s">
        <v>173</v>
      </c>
      <c r="H19" s="2" t="s">
        <v>45</v>
      </c>
      <c r="I19" s="2" t="s">
        <v>114</v>
      </c>
      <c r="J19" s="2" t="s">
        <v>115</v>
      </c>
      <c r="K19" s="2" t="s">
        <v>170</v>
      </c>
      <c r="L19" s="2">
        <v>38</v>
      </c>
      <c r="M19" s="2">
        <v>42609</v>
      </c>
      <c r="N19" s="2">
        <v>18961</v>
      </c>
      <c r="O19" s="2">
        <v>23686</v>
      </c>
      <c r="P19" s="2">
        <v>42647</v>
      </c>
      <c r="Q19" s="2">
        <v>32</v>
      </c>
      <c r="R19" s="2">
        <v>33</v>
      </c>
      <c r="S19" s="2" t="s">
        <v>59</v>
      </c>
      <c r="T19" s="2">
        <v>0.76</v>
      </c>
      <c r="U19" s="2">
        <v>0.39</v>
      </c>
      <c r="V19" s="2">
        <v>1.47</v>
      </c>
      <c r="W19" s="2" t="s">
        <v>117</v>
      </c>
      <c r="X19" s="2" t="s">
        <v>118</v>
      </c>
      <c r="Y19" s="2">
        <v>8</v>
      </c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76.5" x14ac:dyDescent="0.2">
      <c r="A20" s="2" t="s">
        <v>203</v>
      </c>
      <c r="B20" s="2" t="s">
        <v>40</v>
      </c>
      <c r="C20" s="2">
        <v>2023</v>
      </c>
      <c r="D20" s="2" t="s">
        <v>41</v>
      </c>
      <c r="E20" s="2" t="s">
        <v>42</v>
      </c>
      <c r="F20" s="2" t="s">
        <v>43</v>
      </c>
      <c r="G20" s="2" t="s">
        <v>44</v>
      </c>
      <c r="H20" s="2" t="s">
        <v>45</v>
      </c>
      <c r="I20" s="2" t="s">
        <v>46</v>
      </c>
      <c r="J20" s="3"/>
      <c r="K20" s="2" t="s">
        <v>47</v>
      </c>
      <c r="L20" s="4">
        <v>16822</v>
      </c>
      <c r="M20" s="4">
        <v>672880</v>
      </c>
      <c r="N20" s="2">
        <v>7618</v>
      </c>
      <c r="O20" s="4">
        <v>682084</v>
      </c>
      <c r="P20" s="4">
        <v>689702</v>
      </c>
      <c r="Q20" s="3"/>
      <c r="R20" s="3"/>
      <c r="S20" s="2" t="s">
        <v>145</v>
      </c>
      <c r="T20" s="2" t="s">
        <v>182</v>
      </c>
      <c r="U20" s="2" t="s">
        <v>183</v>
      </c>
      <c r="V20" s="2" t="s">
        <v>184</v>
      </c>
      <c r="W20" s="2" t="s">
        <v>49</v>
      </c>
      <c r="X20" s="2"/>
      <c r="Y20" s="2">
        <v>8</v>
      </c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76.5" x14ac:dyDescent="0.2">
      <c r="A21" s="2" t="s">
        <v>202</v>
      </c>
      <c r="B21" s="2" t="s">
        <v>40</v>
      </c>
      <c r="C21" s="2">
        <v>2023</v>
      </c>
      <c r="D21" s="2" t="s">
        <v>41</v>
      </c>
      <c r="E21" s="2" t="s">
        <v>42</v>
      </c>
      <c r="F21" s="2" t="s">
        <v>181</v>
      </c>
      <c r="G21" s="2" t="s">
        <v>210</v>
      </c>
      <c r="H21" s="2" t="s">
        <v>45</v>
      </c>
      <c r="I21" s="2" t="s">
        <v>69</v>
      </c>
      <c r="J21" s="3"/>
      <c r="K21" s="2" t="s">
        <v>47</v>
      </c>
      <c r="L21" s="4">
        <v>16822</v>
      </c>
      <c r="M21" s="2">
        <v>672880</v>
      </c>
      <c r="N21" s="14">
        <v>7618</v>
      </c>
      <c r="O21" s="4">
        <v>682084</v>
      </c>
      <c r="P21" s="4">
        <v>689702</v>
      </c>
      <c r="Q21" s="3"/>
      <c r="R21" s="3"/>
      <c r="S21" s="2" t="s">
        <v>30</v>
      </c>
      <c r="T21" s="2" t="s">
        <v>182</v>
      </c>
      <c r="U21" s="2" t="s">
        <v>183</v>
      </c>
      <c r="V21" s="2" t="s">
        <v>184</v>
      </c>
      <c r="W21" s="2" t="s">
        <v>49</v>
      </c>
      <c r="X21" s="2"/>
      <c r="Y21" s="2">
        <v>9</v>
      </c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242.25" x14ac:dyDescent="0.2">
      <c r="A22" s="2" t="s">
        <v>203</v>
      </c>
      <c r="B22" s="2" t="s">
        <v>63</v>
      </c>
      <c r="C22" s="2">
        <v>2023</v>
      </c>
      <c r="D22" s="2" t="s">
        <v>64</v>
      </c>
      <c r="E22" s="2" t="s">
        <v>65</v>
      </c>
      <c r="F22" s="2" t="s">
        <v>66</v>
      </c>
      <c r="G22" s="2" t="s">
        <v>67</v>
      </c>
      <c r="H22" s="2" t="s">
        <v>68</v>
      </c>
      <c r="I22" s="2" t="s">
        <v>69</v>
      </c>
      <c r="J22" s="2" t="s">
        <v>70</v>
      </c>
      <c r="K22" s="2" t="s">
        <v>71</v>
      </c>
      <c r="L22" s="2">
        <v>148</v>
      </c>
      <c r="M22" s="2">
        <v>131368</v>
      </c>
      <c r="N22" s="4">
        <v>32879</v>
      </c>
      <c r="O22" s="4">
        <v>98637</v>
      </c>
      <c r="P22" s="2">
        <v>131516</v>
      </c>
      <c r="Q22" s="3"/>
      <c r="R22" s="2" t="s">
        <v>72</v>
      </c>
      <c r="S22" s="2" t="s">
        <v>59</v>
      </c>
      <c r="T22" s="2">
        <v>0.82</v>
      </c>
      <c r="U22" s="2">
        <v>0.55000000000000004</v>
      </c>
      <c r="V22" s="2">
        <v>1.21</v>
      </c>
      <c r="W22" s="3" t="s">
        <v>73</v>
      </c>
      <c r="X22" s="2"/>
      <c r="Y22" s="2">
        <v>8</v>
      </c>
      <c r="Z22" s="2" t="s">
        <v>211</v>
      </c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242.25" x14ac:dyDescent="0.2">
      <c r="A23" s="2" t="s">
        <v>202</v>
      </c>
      <c r="B23" s="2" t="s">
        <v>63</v>
      </c>
      <c r="C23" s="2">
        <v>2023</v>
      </c>
      <c r="D23" s="2" t="s">
        <v>75</v>
      </c>
      <c r="E23" s="2" t="s">
        <v>166</v>
      </c>
      <c r="F23" s="2" t="s">
        <v>181</v>
      </c>
      <c r="G23" s="2" t="s">
        <v>67</v>
      </c>
      <c r="H23" s="2" t="s">
        <v>186</v>
      </c>
      <c r="I23" s="2" t="s">
        <v>69</v>
      </c>
      <c r="J23" s="2" t="s">
        <v>187</v>
      </c>
      <c r="K23" s="2" t="s">
        <v>71</v>
      </c>
      <c r="L23" s="2">
        <v>148</v>
      </c>
      <c r="M23" s="2">
        <v>131368</v>
      </c>
      <c r="N23" s="2">
        <v>32879</v>
      </c>
      <c r="O23" s="2">
        <v>98637</v>
      </c>
      <c r="P23" s="2">
        <v>131516</v>
      </c>
      <c r="Q23" s="3"/>
      <c r="R23" s="2" t="s">
        <v>72</v>
      </c>
      <c r="S23" s="2" t="s">
        <v>59</v>
      </c>
      <c r="T23" s="2">
        <v>0.82</v>
      </c>
      <c r="U23" s="2">
        <v>0.55000000000000004</v>
      </c>
      <c r="V23" s="2">
        <v>1.21</v>
      </c>
      <c r="W23" s="2" t="s">
        <v>73</v>
      </c>
      <c r="X23" s="2"/>
      <c r="Y23" s="2">
        <v>8</v>
      </c>
      <c r="Z23" s="2"/>
      <c r="AA23" s="2"/>
      <c r="AB23" s="2"/>
      <c r="AC23" s="2"/>
      <c r="AD23" s="2"/>
      <c r="AE23" s="2"/>
      <c r="AF23" s="2"/>
      <c r="AG23" s="2"/>
      <c r="AH23" s="2"/>
      <c r="AI23" s="2"/>
    </row>
  </sheetData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1BB0B753CCF46BC6A479C0A7912DA" ma:contentTypeVersion="3" ma:contentTypeDescription="Create a new document." ma:contentTypeScope="" ma:versionID="a3b7ea7b53a984388a11ce4c1d8748ce">
  <xsd:schema xmlns:xsd="http://www.w3.org/2001/XMLSchema" xmlns:xs="http://www.w3.org/2001/XMLSchema" xmlns:p="http://schemas.microsoft.com/office/2006/metadata/properties" xmlns:ns2="30cc67ce-1301-4d07-baa0-9a0615252c5e" targetNamespace="http://schemas.microsoft.com/office/2006/metadata/properties" ma:root="true" ma:fieldsID="c564a4bedc07063ad2b83258f726f450" ns2:_="">
    <xsd:import namespace="30cc67ce-1301-4d07-baa0-9a0615252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c67ce-1301-4d07-baa0-9a0615252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59F93A-0FA3-4770-A06E-A9B9430C10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591565-0D79-4D06-B185-A4C2547848E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94F66A-C39F-4449-B9E0-9AFDFEBD4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cc67ce-1301-4d07-baa0-9a0615252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DE</vt:lpstr>
      <vt:lpstr>Data Extraction TL</vt:lpstr>
      <vt:lpstr>Data Extraction BC</vt:lpstr>
      <vt:lpstr>Data Extraction PG</vt:lpstr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Harris</dc:creator>
  <cp:keywords/>
  <dc:description/>
  <cp:lastModifiedBy>Rebecca Harris</cp:lastModifiedBy>
  <cp:revision/>
  <dcterms:created xsi:type="dcterms:W3CDTF">2025-05-15T23:00:30Z</dcterms:created>
  <dcterms:modified xsi:type="dcterms:W3CDTF">2026-07-28T06:21:39Z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0x0101009B11BB0B753CCF46BC6A479C0A7912DA</vt:lpwstr>
  </property>
  <property fmtid="{D5CDD505-2E9C-101B-9397-08002B2CF9AE}" pid="3" name="MSIP_Label_0f488380-630a-4f55-a077-a19445e3f360_Enabled">
    <vt:lpwstr>true</vt:lpwstr>
  </property>
  <property fmtid="{D5CDD505-2E9C-101B-9397-08002B2CF9AE}" pid="4" name="MSIP_Label_0f488380-630a-4f55-a077-a19445e3f360_SetDate">
    <vt:lpwstr>2025-05-15T22:59:09Z</vt:lpwstr>
  </property>
  <property fmtid="{D5CDD505-2E9C-101B-9397-08002B2CF9AE}" pid="5" name="MSIP_Label_0f488380-630a-4f55-a077-a19445e3f360_Method">
    <vt:lpwstr>Standard</vt:lpwstr>
  </property>
  <property fmtid="{D5CDD505-2E9C-101B-9397-08002B2CF9AE}" pid="6" name="MSIP_Label_0f488380-630a-4f55-a077-a19445e3f360_Name">
    <vt:lpwstr>OFFICIAL - INTERNAL</vt:lpwstr>
  </property>
  <property fmtid="{D5CDD505-2E9C-101B-9397-08002B2CF9AE}" pid="7" name="MSIP_Label_0f488380-630a-4f55-a077-a19445e3f360_SiteId">
    <vt:lpwstr>b6e377cf-9db3-46cb-91a2-fad9605bb15c</vt:lpwstr>
  </property>
  <property fmtid="{D5CDD505-2E9C-101B-9397-08002B2CF9AE}" pid="8" name="MSIP_Label_0f488380-630a-4f55-a077-a19445e3f360_ActionId">
    <vt:lpwstr>aa3278ed-52f5-434b-a1de-55169aadff5c</vt:lpwstr>
  </property>
  <property fmtid="{D5CDD505-2E9C-101B-9397-08002B2CF9AE}" pid="9" name="MSIP_Label_0f488380-630a-4f55-a077-a19445e3f360_ContentBits">
    <vt:lpwstr>0</vt:lpwstr>
  </property>
  <property fmtid="{D5CDD505-2E9C-101B-9397-08002B2CF9AE}" pid="10" name="MSIP_Label_0f488380-630a-4f55-a077-a19445e3f360_Tag">
    <vt:lpwstr>10, 3, 0, 2</vt:lpwstr>
  </property>
</Properties>
</file>